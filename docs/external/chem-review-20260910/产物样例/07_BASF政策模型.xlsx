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egment Model" sheetId="2" state="visible" r:id="rId4"/>
    <sheet name="Consensus Bridge" sheetId="3" state="visible" r:id="rId5"/>
    <sheet name="Citi Bridge" sheetId="4" state="visible" r:id="rId6"/>
    <sheet name="EU Policy Scenario" sheetId="5" state="visible" r:id="rId7"/>
    <sheet name="Driver Audit" sheetId="6" state="visible" r:id="rId8"/>
    <sheet name="Sources" sheetId="7" state="visible" r:id="rId9"/>
    <sheet name="Checks" sheetId="8" state="visible" r:id="rId10"/>
  </sheets>
  <definedNames>
    <definedName function="false" hidden="true" localSheetId="7" name="_xlnm._FilterDatabase" vbProcedure="false">Checks!$A$1:$F$9</definedName>
    <definedName function="false" hidden="true" localSheetId="3" name="_xlnm._FilterDatabase" vbProcedure="false">'Citi Bridge'!$A$2:$H$23</definedName>
    <definedName function="false" hidden="true" localSheetId="6" name="_xlnm._FilterDatabase" vbProcedure="false">Sources!$A$1:$I$5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Dalton</author>
  </authors>
  <commentList>
    <comment ref="B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6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7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28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2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3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3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3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3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3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5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6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47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5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5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55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56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57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58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5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6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6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6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6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7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7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7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7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7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75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B81" authorId="0">
      <text>
        <r>
          <rPr>
            <sz val="10"/>
            <rFont val="Arial"/>
            <family val="2"/>
          </rPr>
          <t xml:space="preserve">Source: BASF H1 2026 report, 2026-07-29</t>
        </r>
      </text>
    </comment>
    <comment ref="B82" authorId="0">
      <text>
        <r>
          <rPr>
            <sz val="10"/>
            <rFont val="Arial"/>
            <family val="2"/>
          </rPr>
          <t xml:space="preserve">Source: BASF H1 2026 report, 2026-07-29</t>
        </r>
      </text>
    </comment>
    <comment ref="B83" authorId="0">
      <text>
        <r>
          <rPr>
            <sz val="10"/>
            <rFont val="Arial"/>
            <family val="2"/>
          </rPr>
          <t xml:space="preserve">Source: BASF H1 2026 report, 2026-07-29</t>
        </r>
      </text>
    </comment>
    <comment ref="B84" authorId="0">
      <text>
        <r>
          <rPr>
            <sz val="10"/>
            <rFont val="Arial"/>
            <family val="2"/>
          </rPr>
          <t xml:space="preserve">Source: BASF H1 2026 report, 2026-07-29</t>
        </r>
      </text>
    </comment>
    <comment ref="B85" authorId="0">
      <text>
        <r>
          <rPr>
            <sz val="10"/>
            <rFont val="Arial"/>
            <family val="2"/>
          </rPr>
          <t xml:space="preserve">Source: BASF H1 2026 report, 2026-07-29</t>
        </r>
      </text>
    </comment>
    <comment ref="B86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6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7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9" authorId="0">
      <text>
        <r>
          <rPr>
            <sz val="10"/>
            <rFont val="Arial"/>
            <family val="2"/>
          </rPr>
          <t xml:space="preserve">Source: BASF H1 2026 report, 2026-07-29</t>
        </r>
      </text>
    </comment>
    <comment ref="C10" authorId="0">
      <text>
        <r>
          <rPr>
            <sz val="10"/>
            <rFont val="Arial"/>
            <family val="2"/>
          </rPr>
          <t xml:space="preserve">Source: BASF H1 2026 report, 2026-07-29</t>
        </r>
      </text>
    </comment>
    <comment ref="C18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1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28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2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3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3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3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3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3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6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7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7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7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7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7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C75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D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D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D6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D7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D18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D2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D2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18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28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2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3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3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3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3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3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6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7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7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7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7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7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E75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6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7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28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2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3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3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3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3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3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69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70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71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72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73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74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F75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G6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G7" authorId="0">
      <text>
        <r>
          <rPr>
            <sz val="10"/>
            <rFont val="Arial"/>
            <family val="2"/>
          </rPr>
          <t xml:space="preserve">Source: Citi, 2026-08-14, AlphaEngine 320000610125576</t>
        </r>
      </text>
    </comment>
    <comment ref="H35" authorId="0">
      <text>
        <r>
          <rPr>
            <sz val="10"/>
            <rFont val="Arial"/>
            <family val="2"/>
          </rPr>
          <t xml:space="preserve">2026 to 2027: Chemicals +€426m is offset by Materials -€267m, Surface -€66m and Other -€91m; group +€89m.</t>
        </r>
      </text>
    </comment>
  </commentList>
</comments>
</file>

<file path=xl/sharedStrings.xml><?xml version="1.0" encoding="utf-8"?>
<sst xmlns="http://schemas.openxmlformats.org/spreadsheetml/2006/main" count="665" uniqueCount="451">
  <si>
    <t xml:space="preserve">BASF SE company model and consensus bridge</t>
  </si>
  <si>
    <t xml:space="preserve">Primary-file actuals through 2026Q2; Morgan Stanley and Citi estimates as external consensus anchors</t>
  </si>
  <si>
    <t xml:space="preserve">Model identity</t>
  </si>
  <si>
    <t xml:space="preserve">Company</t>
  </si>
  <si>
    <t xml:space="preserve">BASF SE</t>
  </si>
  <si>
    <t xml:space="preserve">Ticker</t>
  </si>
  <si>
    <t xml:space="preserve">BAS.DE / BASFn.DE</t>
  </si>
  <si>
    <t xml:space="preserve">Currency / unit</t>
  </si>
  <si>
    <t xml:space="preserve">EUR million unless stated</t>
  </si>
  <si>
    <t xml:space="preserve">Annual history</t>
  </si>
  <si>
    <t xml:space="preserve">2025A</t>
  </si>
  <si>
    <t xml:space="preserve">Quarterly history</t>
  </si>
  <si>
    <t xml:space="preserve">2026Q2 / H1 2026</t>
  </si>
  <si>
    <t xml:space="preserve">Annual forecast</t>
  </si>
  <si>
    <t xml:space="preserve">2026E–2028E</t>
  </si>
  <si>
    <t xml:space="preserve">Quarterly forecast</t>
  </si>
  <si>
    <t xml:space="preserve">2026-08-14</t>
  </si>
  <si>
    <t xml:space="preserve">Model date</t>
  </si>
  <si>
    <t xml:space="preserve">2026-09-03</t>
  </si>
  <si>
    <t xml:space="preserve">Version</t>
  </si>
  <si>
    <t xml:space="preserve">BASF v0.4 — Citi EU-policy scenario audit; v0.3 retained</t>
  </si>
  <si>
    <t xml:space="preserve">Critical boundary notes</t>
  </si>
  <si>
    <t xml:space="preserve">Historical and reported figures are BASF primary-file values. Morgan Stanley figures are clearly labelled external estimates, not Dalton estimates.</t>
  </si>
  <si>
    <t xml:space="preserve">2026 adjusted EPS bridge is consensus-methodology EPS; it is not identical to reported IFRS EPS or net income.</t>
  </si>
  <si>
    <t xml:space="preserve">Nutrition &amp; Care pricing and D&amp;A are not disclosed by Morgan Stanley as separate euro deltas. Residual EPS revisions are therefore kept unallocated.</t>
  </si>
  <si>
    <t xml:space="preserve">Citi uses two group measures: segment-bridge EBITDA before special items (€7,567m/€7,656m for 2026/27) and standardized adjusted EBITDA (€7,608m/€7,721m/€8,561m for 2026/27/28). They are not mixed.</t>
  </si>
  <si>
    <t xml:space="preserve">Citi 2028 divisional EBITDA before special items is not disclosed in the report; only group standardized P&amp;L estimates are recorded.</t>
  </si>
  <si>
    <t xml:space="preserve">Q2 2026 D&amp;A includes €1,028m group D&amp;A and €144m Nutrition &amp; Care D&amp;A. No annualization is treated as company guidance.</t>
  </si>
  <si>
    <t xml:space="preserve">NPG/HDO list-price increases are excluded from forecasts until realized European transaction pricing, volume and contribution margin are verified.</t>
  </si>
  <si>
    <t xml:space="preserve">Color convention</t>
  </si>
  <si>
    <t xml:space="preserve">Primary-file actual</t>
  </si>
  <si>
    <t xml:space="preserve">Aa123</t>
  </si>
  <si>
    <t xml:space="preserve">Formula</t>
  </si>
  <si>
    <t xml:space="preserve">Cross-sheet formula</t>
  </si>
  <si>
    <t xml:space="preserve">External estimate</t>
  </si>
  <si>
    <t xml:space="preserve">Analyst assumption / unresolved bridge</t>
  </si>
  <si>
    <t xml:space="preserve">BASF segment model — primary-file actuals</t>
  </si>
  <si>
    <t xml:space="preserve">2026Q2A</t>
  </si>
  <si>
    <t xml:space="preserve">2026H1A</t>
  </si>
  <si>
    <t xml:space="preserve">2026E</t>
  </si>
  <si>
    <t xml:space="preserve">2027E</t>
  </si>
  <si>
    <t xml:space="preserve">2028E</t>
  </si>
  <si>
    <t xml:space="preserve">Chemicals</t>
  </si>
  <si>
    <t xml:space="preserve">Sales</t>
  </si>
  <si>
    <t xml:space="preserve">EBITDA before special items</t>
  </si>
  <si>
    <t xml:space="preserve">EBITDA margin before special items</t>
  </si>
  <si>
    <t xml:space="preserve">Depreciation &amp; amortization</t>
  </si>
  <si>
    <t xml:space="preserve">EBIT before special items</t>
  </si>
  <si>
    <t xml:space="preserve">Materials</t>
  </si>
  <si>
    <t xml:space="preserve">Industrial Solutions</t>
  </si>
  <si>
    <t xml:space="preserve">Nutrition &amp; Care</t>
  </si>
  <si>
    <t xml:space="preserve">Surface Technologies</t>
  </si>
  <si>
    <t xml:space="preserve">Agricultural Solutions</t>
  </si>
  <si>
    <t xml:space="preserve">Other / reconciliation</t>
  </si>
  <si>
    <t xml:space="preserve">Group</t>
  </si>
  <si>
    <t xml:space="preserve">Morgan Stanley post-2Q26 estimate bridge</t>
  </si>
  <si>
    <t xml:space="preserve">Metric</t>
  </si>
  <si>
    <t xml:space="preserve">Method / boundary</t>
  </si>
  <si>
    <t xml:space="preserve">MS sales</t>
  </si>
  <si>
    <t xml:space="preserve">2027–28 inferred from MS sales growth 0.5% / 2.7%; 2026 direct</t>
  </si>
  <si>
    <t xml:space="preserve">MS sales growth</t>
  </si>
  <si>
    <t xml:space="preserve">MS report p.3</t>
  </si>
  <si>
    <t xml:space="preserve">MS EBITDA</t>
  </si>
  <si>
    <t xml:space="preserve">2027–28 = sales × MS EBITDA margin; 2026 direct</t>
  </si>
  <si>
    <t xml:space="preserve">MS EBITDA margin</t>
  </si>
  <si>
    <t xml:space="preserve">MS report p.3; 2026 direct EBITDA/sales gives 12.66%, rounds to 12.7%</t>
  </si>
  <si>
    <t xml:space="preserve">MS adjusted EPS — old</t>
  </si>
  <si>
    <t xml:space="preserve">MS pre-update estimate shown in 2026-08-12 report</t>
  </si>
  <si>
    <t xml:space="preserve">MS adjusted EPS — new</t>
  </si>
  <si>
    <t xml:space="preserve">MS 2026-08-12 post-Q2 update</t>
  </si>
  <si>
    <t xml:space="preserve">Absolute EPS revision</t>
  </si>
  <si>
    <t xml:space="preserve">New minus old</t>
  </si>
  <si>
    <t xml:space="preserve">EPS revision %</t>
  </si>
  <si>
    <t xml:space="preserve">MS reported rounded revision</t>
  </si>
  <si>
    <t xml:space="preserve">Reason 1</t>
  </si>
  <si>
    <t xml:space="preserve">Slightly lower Nutrition &amp; Care pricing</t>
  </si>
  <si>
    <t xml:space="preserve">No euro allocation disclosed</t>
  </si>
  <si>
    <t xml:space="preserve">Reason 2</t>
  </si>
  <si>
    <t xml:space="preserve">Slightly higher D&amp;A at Q2 run rate</t>
  </si>
  <si>
    <t xml:space="preserve">Unallocated residual</t>
  </si>
  <si>
    <t xml:space="preserve">Entire revision remains unallocated; do not invent split</t>
  </si>
  <si>
    <t xml:space="preserve">MS price target</t>
  </si>
  <si>
    <t xml:space="preserve">Unchanged; rating Overweight</t>
  </si>
  <si>
    <t xml:space="preserve">Share price, Aug 11</t>
  </si>
  <si>
    <t xml:space="preserve">MS cover page</t>
  </si>
  <si>
    <t xml:space="preserve">Upside to price target</t>
  </si>
  <si>
    <t xml:space="preserve">MS vs mean consensus (2026E)</t>
  </si>
  <si>
    <t xml:space="preserve">MS</t>
  </si>
  <si>
    <t xml:space="preserve">Mean consensus</t>
  </si>
  <si>
    <t xml:space="preserve">MS premium / (discount)</t>
  </si>
  <si>
    <t xml:space="preserve">The report extraction also displays a second value set; only the clearly ordered MS-vs-Mean columns are used here.</t>
  </si>
  <si>
    <t xml:space="preserve">EBITDA</t>
  </si>
  <si>
    <t xml:space="preserve">EBIT</t>
  </si>
  <si>
    <t xml:space="preserve">Adjusted EPS</t>
  </si>
  <si>
    <t xml:space="preserve">Citi post-Q2 2026 consensus and volume-recovery bridge</t>
  </si>
  <si>
    <t xml:space="preserve">2026 consensus</t>
  </si>
  <si>
    <t xml:space="preserve">2027 consensus</t>
  </si>
  <si>
    <t xml:space="preserve">Citi sales — standardized P&amp;L</t>
  </si>
  <si>
    <t xml:space="preserve">Citi standardized financial summary; not the same perimeter as Figure 3 segment table.</t>
  </si>
  <si>
    <t xml:space="preserve">Citi adjusted EBITDA — standardized P&amp;L</t>
  </si>
  <si>
    <t xml:space="preserve">Citi standardized financial summary.</t>
  </si>
  <si>
    <t xml:space="preserve">Citi adjusted EBITDA margin</t>
  </si>
  <si>
    <t xml:space="preserve">Formula.</t>
  </si>
  <si>
    <t xml:space="preserve">Citi group sales — Figure 3 segment bridge</t>
  </si>
  <si>
    <t xml:space="preserve">Figure 3; comparable to the divisional forecast table.</t>
  </si>
  <si>
    <t xml:space="preserve">Citi EBITDA bsi — Figure 3 segment bridge</t>
  </si>
  <si>
    <t xml:space="preserve">Figure 3; this is the measure compared with BASF guidance.</t>
  </si>
  <si>
    <t xml:space="preserve">Citi EBITDA bsi margin</t>
  </si>
  <si>
    <t xml:space="preserve">BASF official EBITDA bsi guidance — low</t>
  </si>
  <si>
    <t xml:space="preserve">BASF H1 2026 report, pp.3/15.</t>
  </si>
  <si>
    <t xml:space="preserve">BASF official EBITDA bsi guidance — high</t>
  </si>
  <si>
    <t xml:space="preserve">BASF official guidance midpoint</t>
  </si>
  <si>
    <t xml:space="preserve">Formula; guidance midpoint is not management point estimate.</t>
  </si>
  <si>
    <t xml:space="preserve">Citi bsi vs official midpoint</t>
  </si>
  <si>
    <t xml:space="preserve">Citi bsi vs official high</t>
  </si>
  <si>
    <t xml:space="preserve">Morgan Stanley EBITDA</t>
  </si>
  <si>
    <t xml:space="preserve">Linked from MS bridge; 2027–28 are inferred there from MS sales × margin.</t>
  </si>
  <si>
    <t xml:space="preserve">Citi bsi vs MS EBITDA</t>
  </si>
  <si>
    <t xml:space="preserve">2026–27 only; close but not guaranteed identical broker definitions.</t>
  </si>
  <si>
    <t xml:space="preserve">Citi standardized adj. EBITDA vs MS</t>
  </si>
  <si>
    <t xml:space="preserve">Broader group comparison; preserve definition warning.</t>
  </si>
  <si>
    <t xml:space="preserve">Citi Figure 3 sales vs MS sales</t>
  </si>
  <si>
    <t xml:space="preserve">Different broker perimeter/FX assumptions may contribute.</t>
  </si>
  <si>
    <t xml:space="preserve">Citi target price (€)</t>
  </si>
  <si>
    <t xml:space="preserve">Unchanged; Buy.</t>
  </si>
  <si>
    <t xml:space="preserve">Citi reference share price (€)</t>
  </si>
  <si>
    <t xml:space="preserve">Close 2026-08-13.</t>
  </si>
  <si>
    <t xml:space="preserve">Upside to Citi target</t>
  </si>
  <si>
    <t xml:space="preserve">Formula; excludes dividend.</t>
  </si>
  <si>
    <t xml:space="preserve">Citi 2027 EV/EBITDA</t>
  </si>
  <si>
    <t xml:space="preserve">Above Citi-stated five-year historical average of 7.3x.</t>
  </si>
  <si>
    <t xml:space="preserve">Citi mid-cycle EBITDA</t>
  </si>
  <si>
    <t xml:space="preserve">Midpoint of Citi €9.1–9.2bn range; report says 2027 is ~16% below normalized.</t>
  </si>
  <si>
    <t xml:space="preserve">2027 discount to Citi mid-cycle</t>
  </si>
  <si>
    <t xml:space="preserve">Uses standardized adjusted EBITDA for internal consistency.</t>
  </si>
  <si>
    <t xml:space="preserve">Citi divisional EBITDA before special items</t>
  </si>
  <si>
    <t xml:space="preserve">Segment</t>
  </si>
  <si>
    <t xml:space="preserve">2026E Citi</t>
  </si>
  <si>
    <t xml:space="preserve">2026E consensus</t>
  </si>
  <si>
    <t xml:space="preserve">Citi premium / (discount)</t>
  </si>
  <si>
    <t xml:space="preserve">2027E Citi</t>
  </si>
  <si>
    <t xml:space="preserve">2027E consensus</t>
  </si>
  <si>
    <t xml:space="preserve">2027E vs 2026E</t>
  </si>
  <si>
    <t xml:space="preserve">Group / segment sum</t>
  </si>
  <si>
    <t xml:space="preserve">Citi 2026 EBITDA bsi bridge from 2025A</t>
  </si>
  <si>
    <t xml:space="preserve">Bridge component</t>
  </si>
  <si>
    <t xml:space="preserve">€m</t>
  </si>
  <si>
    <t xml:space="preserve">% of 2025A EBITDA</t>
  </si>
  <si>
    <t xml:space="preserve">Boundary</t>
  </si>
  <si>
    <t xml:space="preserve">2025A EBITDA bsi</t>
  </si>
  <si>
    <t xml:space="preserve">BASF actual</t>
  </si>
  <si>
    <t xml:space="preserve">China Verbund</t>
  </si>
  <si>
    <t xml:space="preserve">Citi estimate</t>
  </si>
  <si>
    <t xml:space="preserve">Underlying volumes</t>
  </si>
  <si>
    <t xml:space="preserve">Net pricing upstream</t>
  </si>
  <si>
    <t xml:space="preserve">Temporary Middle East gains</t>
  </si>
  <si>
    <t xml:space="preserve">FX</t>
  </si>
  <si>
    <t xml:space="preserve">Net cost savings</t>
  </si>
  <si>
    <t xml:space="preserve">Other: Surface Tech one-offs, Deco, downstream margins</t>
  </si>
  <si>
    <t xml:space="preserve">2026E EBITDA bsi — bridge sum</t>
  </si>
  <si>
    <t xml:space="preserve">Must equal Citi Figure 3 €7,567m.</t>
  </si>
  <si>
    <t xml:space="preserve">Citi 2027 EBITDA bsi bridge to consensus</t>
  </si>
  <si>
    <t xml:space="preserve">% of 2026E Citi EBITDA</t>
  </si>
  <si>
    <t xml:space="preserve">2026E Citi EBITDA bsi</t>
  </si>
  <si>
    <t xml:space="preserve">Citi Figure 2</t>
  </si>
  <si>
    <t xml:space="preserve">Required underlying volume growth</t>
  </si>
  <si>
    <t xml:space="preserve">Citi estimate; described as ~1–2% / ~2%</t>
  </si>
  <si>
    <t xml:space="preserve">Temporary Middle East gain reversal</t>
  </si>
  <si>
    <t xml:space="preserve">Other: Surface Tech litigation</t>
  </si>
  <si>
    <t xml:space="preserve">2027 BB consensus EBITDA bsi — bridge sum</t>
  </si>
  <si>
    <t xml:space="preserve">Citi chart bridge totals €7,697m; separate Figure 3 consensus is €7,725m.</t>
  </si>
  <si>
    <t xml:space="preserve">Citi 2027 EBITDA bsi</t>
  </si>
  <si>
    <t xml:space="preserve">Figure 3; €41m below the Figure 2 bridge-to-consensus total.</t>
  </si>
  <si>
    <t xml:space="preserve">Citi: EBITDA upside per +1ppt underlying volume growth</t>
  </si>
  <si>
    <t xml:space="preserve">Approximately 3% of consensus EBITDA, not a Dalton sensitivity.</t>
  </si>
  <si>
    <t xml:space="preserve">Implied €m per +1ppt volume growth</t>
  </si>
  <si>
    <t xml:space="preserve">Uses Figure 3 2027 consensus €7,725m; approximately €232m.</t>
  </si>
  <si>
    <t xml:space="preserve">Citi divisional sales — Figure 3</t>
  </si>
  <si>
    <t xml:space="preserve">Other</t>
  </si>
  <si>
    <t xml:space="preserve">Evidence boundary: why Q2 volume is not a clean 2027 demand base</t>
  </si>
  <si>
    <t xml:space="preserve">Observed / assumption</t>
  </si>
  <si>
    <t xml:space="preserve">Value</t>
  </si>
  <si>
    <t xml:space="preserve">Period</t>
  </si>
  <si>
    <t xml:space="preserve">Source</t>
  </si>
  <si>
    <t xml:space="preserve">Treatment</t>
  </si>
  <si>
    <t xml:space="preserve">Group volume effect</t>
  </si>
  <si>
    <t xml:space="preserve">2026Q2</t>
  </si>
  <si>
    <t xml:space="preserve">BASF H1 report</t>
  </si>
  <si>
    <t xml:space="preserve">Includes capacity/start-up and temporary factors.</t>
  </si>
  <si>
    <t xml:space="preserve">Chemicals volume effect</t>
  </si>
  <si>
    <t xml:space="preserve">Primarily includes Zhanjiang start-up; not all end-demand recovery.</t>
  </si>
  <si>
    <t xml:space="preserve">Nutrition &amp; Care volume effect</t>
  </si>
  <si>
    <t xml:space="preserve">Nutrition &amp; Health easy comparison after 2024 fire.</t>
  </si>
  <si>
    <t xml:space="preserve">Agricultural Solutions volume effect</t>
  </si>
  <si>
    <t xml:space="preserve">Includes ERP-related sales pull-forward in South America.</t>
  </si>
  <si>
    <t xml:space="preserve">Official 2026 chemical production growth assumption</t>
  </si>
  <si>
    <t xml:space="preserve">FY2026</t>
  </si>
  <si>
    <t xml:space="preserve">Cut from 2.4%; company expects moderate H2 slowdown in Europe.</t>
  </si>
  <si>
    <t xml:space="preserve">Citi 2027 total volume growth</t>
  </si>
  <si>
    <t xml:space="preserve">FY2027E</t>
  </si>
  <si>
    <t xml:space="preserve">Citi</t>
  </si>
  <si>
    <t xml:space="preserve">Includes Zhanjiang; Figure 3 consensus shows 0.0%.</t>
  </si>
  <si>
    <t xml:space="preserve">Citi EU chemical-protection scenario — audit bridge (not booked in base case)</t>
  </si>
  <si>
    <t xml:space="preserve">EUR million unless stated. Blue cells are Citi assumptions/estimates; black cells are formulas; green cells link to prior sheets.</t>
  </si>
  <si>
    <t xml:space="preserve">Forecast revisions versus Citi 2026-08-14</t>
  </si>
  <si>
    <t xml:space="preserve">2026E new</t>
  </si>
  <si>
    <t xml:space="preserve">2026E prior</t>
  </si>
  <si>
    <t xml:space="preserve">Delta</t>
  </si>
  <si>
    <t xml:space="preserve">2027E new</t>
  </si>
  <si>
    <t xml:space="preserve">2027E prior</t>
  </si>
  <si>
    <t xml:space="preserve">2028E new</t>
  </si>
  <si>
    <t xml:space="preserve">2028E prior</t>
  </si>
  <si>
    <t xml:space="preserve">Citi standardized P&amp;L; new report Figure 3 uses same displayed values.</t>
  </si>
  <si>
    <t xml:space="preserve">Adjusted EBITDA / EBITDA bsi</t>
  </si>
  <si>
    <t xml:space="preserve">Citi page 2 labels EBITDA Adj.; Figure 3 labels EBITDA bsi. Retained as broker measure, not Dalton base case.</t>
  </si>
  <si>
    <t xml:space="preserve">Adjusted diluted EPS (€)</t>
  </si>
  <si>
    <t xml:space="preserve">Citi new versus old, 2026-09-03.</t>
  </si>
  <si>
    <t xml:space="preserve">Free cash flow</t>
  </si>
  <si>
    <t xml:space="preserve">Citi Figure 3; 2028 old/new comparison not disclosed.</t>
  </si>
  <si>
    <t xml:space="preserve">Citi pricing scenario</t>
  </si>
  <si>
    <t xml:space="preserve">Assumption / output</t>
  </si>
  <si>
    <t xml:space="preserve">Low</t>
  </si>
  <si>
    <t xml:space="preserve">High</t>
  </si>
  <si>
    <t xml:space="preserve">Unit</t>
  </si>
  <si>
    <t xml:space="preserve">Formula / boundary</t>
  </si>
  <si>
    <t xml:space="preserve">European upstream capacity</t>
  </si>
  <si>
    <t xml:space="preserve">million tonnes</t>
  </si>
  <si>
    <t xml:space="preserve">Citi assumption; BASF does not disclose a matching audited product map.</t>
  </si>
  <si>
    <t xml:space="preserve">Utilization applied</t>
  </si>
  <si>
    <t xml:space="preserve">%</t>
  </si>
  <si>
    <t xml:space="preserve">Citi assumption.</t>
  </si>
  <si>
    <t xml:space="preserve">External sales share</t>
  </si>
  <si>
    <t xml:space="preserve">Citi states 75–80% of Chemicals sales are external.</t>
  </si>
  <si>
    <t xml:space="preserve">Net spread improvement</t>
  </si>
  <si>
    <t xml:space="preserve">€/tonne</t>
  </si>
  <si>
    <t xml:space="preserve">Illustrative broad safeguarding scenario; not enacted policy.</t>
  </si>
  <si>
    <t xml:space="preserve">Recalculated pricing EBITDA uplift</t>
  </si>
  <si>
    <t xml:space="preserve">10mt × utilization × external share × €100/t = €562.5–600.0m.</t>
  </si>
  <si>
    <t xml:space="preserve">Citi stated pricing uplift</t>
  </si>
  <si>
    <t xml:space="preserve">Rounded range in report.</t>
  </si>
  <si>
    <t xml:space="preserve">Citi market-share / utilization scenario and arithmetic audit</t>
  </si>
  <si>
    <t xml:space="preserve">European upstream market share base</t>
  </si>
  <si>
    <t xml:space="preserve">Citi uses ~25% base for its 8–12% volume-growth calculation.</t>
  </si>
  <si>
    <t xml:space="preserve">Market-share recovery</t>
  </si>
  <si>
    <t xml:space="preserve">ppt</t>
  </si>
  <si>
    <t xml:space="preserve">Europe share of group sales</t>
  </si>
  <si>
    <t xml:space="preserve">Citi assumption; not a same-perimeter capacity weight.</t>
  </si>
  <si>
    <t xml:space="preserve">European utilization base</t>
  </si>
  <si>
    <t xml:space="preserve">Citi stated end utilization</t>
  </si>
  <si>
    <t xml:space="preserve">Citi stated ~78–81%.</t>
  </si>
  <si>
    <t xml:space="preserve">Citi stated utilization increase</t>
  </si>
  <si>
    <t xml:space="preserve">Citi stated ~4–6ppt.</t>
  </si>
  <si>
    <t xml:space="preserve">Citi modeled sensitivity</t>
  </si>
  <si>
    <t xml:space="preserve">€m / ppt</t>
  </si>
  <si>
    <t xml:space="preserve">Citi says closer to €200m per ppt than management indication of ~€300m.</t>
  </si>
  <si>
    <t xml:space="preserve">Implied European volume growth</t>
  </si>
  <si>
    <t xml:space="preserve">2–3ppt share gain / 25% base = 8–12%.</t>
  </si>
  <si>
    <t xml:space="preserve">Implied group volume uplift</t>
  </si>
  <si>
    <t xml:space="preserve">8–12% Europe volume growth × 40% sales exposure = 3.2–4.8%.</t>
  </si>
  <si>
    <t xml:space="preserve">Mechanical end utilization</t>
  </si>
  <si>
    <t xml:space="preserve">74% × (1 + 8–12%) = 79.9–82.9%, above Citi stated 78–81%.</t>
  </si>
  <si>
    <t xml:space="preserve">Mechanical utilization increase</t>
  </si>
  <si>
    <t xml:space="preserve">5.9–8.9ppt, not Citi stated 4–6ppt.</t>
  </si>
  <si>
    <t xml:space="preserve">Unscaled uplift at €200m / ppt</t>
  </si>
  <si>
    <t xml:space="preserve">€800–1,200m; does not reconcile to Citi stated €400–600m.</t>
  </si>
  <si>
    <t xml:space="preserve">40%-prorated uplift at €200m / ppt</t>
  </si>
  <si>
    <t xml:space="preserve">€320–480m; still below Citi stated range. Sales exposure is not necessarily capacity/EBITDA weight.</t>
  </si>
  <si>
    <t xml:space="preserve">Citi stated utilization EBITDA uplift</t>
  </si>
  <si>
    <t xml:space="preserve">This implies €100m per European utilization ppt, not the text’s €200m.</t>
  </si>
  <si>
    <t xml:space="preserve">Effective sensitivity implied by stated uplift</t>
  </si>
  <si>
    <t xml:space="preserve">€100m / ppt at both bounds.</t>
  </si>
  <si>
    <t xml:space="preserve">Scenario bridge to Citi 2027E and valuation boundary</t>
  </si>
  <si>
    <t xml:space="preserve">Citi new 2027E adjusted EBITDA</t>
  </si>
  <si>
    <t xml:space="preserve">Linked within this sheet.</t>
  </si>
  <si>
    <t xml:space="preserve">Illustrative gross EU protection uplift</t>
  </si>
  <si>
    <t xml:space="preserve">Citi says up to ~€1bn; gross, pre-retaliation and implementation.</t>
  </si>
  <si>
    <t xml:space="preserve">Scenario 2027E EBITDA</t>
  </si>
  <si>
    <t xml:space="preserve">Not a forecast and not booked in base case.</t>
  </si>
  <si>
    <t xml:space="preserve">Scenario uplift vs 2027E</t>
  </si>
  <si>
    <t xml:space="preserve">€1bn / €7.652bn.</t>
  </si>
  <si>
    <t xml:space="preserve">Midpoint / chart reference ~€9.15bn.</t>
  </si>
  <si>
    <t xml:space="preserve">Scenario gap to mid-cycle</t>
  </si>
  <si>
    <t xml:space="preserve">Still below Citi mid-cycle.</t>
  </si>
  <si>
    <t xml:space="preserve">Scenario discount to mid-cycle</t>
  </si>
  <si>
    <t xml:space="preserve">Negative means below mid-cycle.</t>
  </si>
  <si>
    <t xml:space="preserve">€1bn / 2025A EBITDA</t>
  </si>
  <si>
    <t xml:space="preserve">Denominator that gives ~15%; versus 2027E the uplift is ~13%.</t>
  </si>
  <si>
    <t xml:space="preserve">Base-case EBITDA uplift booked</t>
  </si>
  <si>
    <t xml:space="preserve">Dalton treatment: zero until product scope, timing and realization are verified.</t>
  </si>
  <si>
    <t xml:space="preserve">Citi target price — new</t>
  </si>
  <si>
    <t xml:space="preserve">€ / share</t>
  </si>
  <si>
    <t xml:space="preserve">DCF; raised from €58.</t>
  </si>
  <si>
    <t xml:space="preserve">Reference share price</t>
  </si>
  <si>
    <t xml:space="preserve">Citi close, 2026-09-02.</t>
  </si>
  <si>
    <t xml:space="preserve">Price upside to target</t>
  </si>
  <si>
    <t xml:space="preserve">Excludes dividend.</t>
  </si>
  <si>
    <t xml:space="preserve">Expected total return</t>
  </si>
  <si>
    <t xml:space="preserve">Citi; includes 4.2% dividend yield.</t>
  </si>
  <si>
    <t xml:space="preserve">Target-implied fair multiple</t>
  </si>
  <si>
    <t xml:space="preserve">x</t>
  </si>
  <si>
    <t xml:space="preserve">Citi says ~8.7x on mid-cycle path; not a Dalton valuation.</t>
  </si>
  <si>
    <t xml:space="preserve">Item</t>
  </si>
  <si>
    <t xml:space="preserve">Decision / status</t>
  </si>
  <si>
    <t xml:space="preserve">Evidence boundary</t>
  </si>
  <si>
    <t xml:space="preserve">Policy status</t>
  </si>
  <si>
    <t xml:space="preserve">Scenario only</t>
  </si>
  <si>
    <t xml:space="preserve">The official CCA framework and product-specific duties are real; no broad chemical safeguard or €100/t sector pricing rule was found as enacted by 2026-09-03.</t>
  </si>
  <si>
    <t xml:space="preserve">October catalyst</t>
  </si>
  <si>
    <t xml:space="preserve">Partly verified</t>
  </si>
  <si>
    <t xml:space="preserve">A stakeholder source dates the second CCA General Assembly to 2026-10-08; the Commission public CCA page does not yet list it. No specific September policy meeting was independently verified.</t>
  </si>
  <si>
    <t xml:space="preserve">BASF product map</t>
  </si>
  <si>
    <t xml:space="preserve">Incomplete</t>
  </si>
  <si>
    <t xml:space="preserve">BDO duties are directionally favorable and BASF increased Ludwigshafen output; adipic acid duties arrived after BASF closed Ludwigshafen production; polyamide-yarn duties are downstream and no direct BASF exposure was verified.</t>
  </si>
  <si>
    <t xml:space="preserve">Retaliation</t>
  </si>
  <si>
    <t xml:space="preserve">Material risk</t>
  </si>
  <si>
    <t xml:space="preserve">China MOFCOM said discriminatory restrictions would trigger resolute countermeasures. BASF’s Greater China sales exposure and Zhanjiang assets make the gross European uplift non-nettable without scenario detail.</t>
  </si>
  <si>
    <t xml:space="preserve">Thesis / valuation</t>
  </si>
  <si>
    <t xml:space="preserve">NO_CHANGE</t>
  </si>
  <si>
    <t xml:space="preserve">BASF-T2 lightly supported as optionality; BASF-T3 not falsified. No change to Dalton base case, target valuation or WATCHLIST stance.</t>
  </si>
  <si>
    <t xml:space="preserve">Post-2Q26 driver audit</t>
  </si>
  <si>
    <t xml:space="preserve">Interpretation / model treatment</t>
  </si>
  <si>
    <t xml:space="preserve">Group D&amp;A</t>
  </si>
  <si>
    <t xml:space="preserve">Q2 +10.9% YoY; H1 +6.3% YoY. Q2×4 = 4,112, a run-rate observation, not guidance.</t>
  </si>
  <si>
    <t xml:space="preserve">Nutrition &amp; Care D&amp;A</t>
  </si>
  <si>
    <t xml:space="preserve">Q2 +4.7% YoY; H1 +7.6% YoY. Helps explain EPS sensitivity despite EBITDA improvement.</t>
  </si>
  <si>
    <t xml:space="preserve">Nutrition &amp; Care sales</t>
  </si>
  <si>
    <t xml:space="preserve">Q2 +5.7% YoY; H1 +1.2% YoY.</t>
  </si>
  <si>
    <t xml:space="preserve">Nutrition &amp; Care EBITDA bsi</t>
  </si>
  <si>
    <t xml:space="preserve">Q2 +4.2% YoY; H1 -6.9% YoY.</t>
  </si>
  <si>
    <t xml:space="preserve">Nutrition &amp; Care EBITDA margin</t>
  </si>
  <si>
    <t xml:space="preserve">Q2 11.9% vs 12.1% prior year; H1 11.7% vs 12.7% prior year.</t>
  </si>
  <si>
    <t xml:space="preserve">Nutrition &amp; Care price effect</t>
  </si>
  <si>
    <t xml:space="preserve">Q2 segment price effect -1.7%; Nutrition &amp; Health -8.0%, Care Chemicals +0.5%.</t>
  </si>
  <si>
    <t xml:space="preserve">NPG/HDO announced European list price</t>
  </si>
  <si>
    <t xml:space="preserve">Excluded. No realized transaction price, Europe volume or segment attribution to Nutrition &amp; Care.</t>
  </si>
  <si>
    <t xml:space="preserve">Mechanical diagnostics</t>
  </si>
  <si>
    <t xml:space="preserve">Q2 group D&amp;A annualized</t>
  </si>
  <si>
    <t xml:space="preserve">Observation only</t>
  </si>
  <si>
    <t xml:space="preserve">Q2 N&amp;C D&amp;A annualized</t>
  </si>
  <si>
    <t xml:space="preserve">2026 EPS delta (€ / share)</t>
  </si>
  <si>
    <t xml:space="preserve">Not allocated between pricing and D&amp;A</t>
  </si>
  <si>
    <t xml:space="preserve">Sheet</t>
  </si>
  <si>
    <t xml:space="preserve">Field</t>
  </si>
  <si>
    <t xml:space="preserve">Source / document</t>
  </si>
  <si>
    <t xml:space="preserve">Document date</t>
  </si>
  <si>
    <t xml:space="preserve">Reference</t>
  </si>
  <si>
    <t xml:space="preserve">URL</t>
  </si>
  <si>
    <t xml:space="preserve">Boundary / methodology</t>
  </si>
  <si>
    <t xml:space="preserve">Verified?</t>
  </si>
  <si>
    <t xml:space="preserve">Segment Model</t>
  </si>
  <si>
    <t xml:space="preserve">2025 segment and group actuals</t>
  </si>
  <si>
    <t xml:space="preserve">BASF Report 2025</t>
  </si>
  <si>
    <t xml:space="preserve">2026-02-27</t>
  </si>
  <si>
    <t xml:space="preserve">Group p.52; segments pp.66–80</t>
  </si>
  <si>
    <t xml:space="preserve">https://www.basf.com/dam/jcr:d54ddca4-f9c7-4b4f-b65e-d6ae3188ee24/basf/www/global/documents/en/investor-relations/calendar-and-publications/reports/2026/BASF_Report_2025.pdf</t>
  </si>
  <si>
    <t xml:space="preserve">Primary-file values; discontinued Coatings presentation follows BASF report</t>
  </si>
  <si>
    <t xml:space="preserve">Yes</t>
  </si>
  <si>
    <t xml:space="preserve">2026Q2/H1 segment and group actuals</t>
  </si>
  <si>
    <t xml:space="preserve">2026Q2/H1</t>
  </si>
  <si>
    <t xml:space="preserve">BASF Half-Year Financial Report 2026</t>
  </si>
  <si>
    <t xml:space="preserve">2026-07-29</t>
  </si>
  <si>
    <t xml:space="preserve">Group pp.3–8; segments pp.19–31</t>
  </si>
  <si>
    <t xml:space="preserve">https://www.basf.com/dam/jcr:0b80a486-0dd8-4706-9d1c-3c7658e9c5c0/basf/www/global/documents/en/investor-relations/calendar-and-publications/reports/2026/BASF_Half-Year-Financial-Report-2026.pdf</t>
  </si>
  <si>
    <t xml:space="preserve">Primary-file values</t>
  </si>
  <si>
    <t xml:space="preserve">Consensus Bridge</t>
  </si>
  <si>
    <t xml:space="preserve">MS EPS, sales, EBITDA, margins, PT</t>
  </si>
  <si>
    <t xml:space="preserve">Morgan Stanley, BASF Risk Reward Update</t>
  </si>
  <si>
    <t xml:space="preserve">2026-08-12</t>
  </si>
  <si>
    <t xml:space="preserve">pp.1–3</t>
  </si>
  <si>
    <t xml:space="preserve">alphaengine://document/320000610115010</t>
  </si>
  <si>
    <t xml:space="preserve">External analyst estimates; 2027–28 sales/EBITDA derived only where noted</t>
  </si>
  <si>
    <t xml:space="preserve">Driver Audit</t>
  </si>
  <si>
    <t xml:space="preserve">NPG/HDO list price action</t>
  </si>
  <si>
    <t xml:space="preserve">BASF official release P-26-150</t>
  </si>
  <si>
    <t xml:space="preserve">Official release</t>
  </si>
  <si>
    <t xml:space="preserve">https://www.basf.com/global/en/media/news-releases/2026/08/p-26-150</t>
  </si>
  <si>
    <t xml:space="preserve">Excluded from forecast absent realization evidence</t>
  </si>
  <si>
    <t xml:space="preserve">Citi Bridge</t>
  </si>
  <si>
    <t xml:space="preserve">Citi segment sales/EBITDA, group P&amp;L, volume sensitivity and target price</t>
  </si>
  <si>
    <t xml:space="preserve">Citi, BASF SE: Less risky than Air Liquide?</t>
  </si>
  <si>
    <t xml:space="preserve">pp.1–4 / Figures 1–3</t>
  </si>
  <si>
    <t xml:space="preserve">alphaengine://document/320000610125576</t>
  </si>
  <si>
    <t xml:space="preserve">External analyst estimates; Figure 3 EBITDA bsi kept separate from standardized adjusted EBITDA</t>
  </si>
  <si>
    <t xml:space="preserve">EU Policy Scenario</t>
  </si>
  <si>
    <t xml:space="preserve">Citi forecast revision, pricing/utilization scenario, TP</t>
  </si>
  <si>
    <t xml:space="preserve">Citi, BASF SE: Protecting Europe: The Next Leg Higher?</t>
  </si>
  <si>
    <t xml:space="preserve">pp.1–7 / Figures 2–3</t>
  </si>
  <si>
    <t xml:space="preserve">alphaengine://document/320000610261263</t>
  </si>
  <si>
    <t xml:space="preserve">External estimates and illustrative gross policy scenario; arithmetic independently audited</t>
  </si>
  <si>
    <t xml:space="preserve">CCA framework, official deliverables and import monitor</t>
  </si>
  <si>
    <t xml:space="preserve">2025–2026</t>
  </si>
  <si>
    <t xml:space="preserve">European Commission, Chemical Industry Action Plan / Critical Chemicals Alliance</t>
  </si>
  <si>
    <t xml:space="preserve">Official webpages</t>
  </si>
  <si>
    <t xml:space="preserve">https://single-market-economy.ec.europa.eu/sectors/chemicals/critical-chemicals-alliance_en</t>
  </si>
  <si>
    <t xml:space="preserve">Official framework; no broad enacted €100/t safeguard found</t>
  </si>
  <si>
    <t xml:space="preserve">BDO, adipic acid and polyamide-yarn anti-dumping measures</t>
  </si>
  <si>
    <t xml:space="preserve">2026</t>
  </si>
  <si>
    <t xml:space="preserve">European Commission trade-defence releases</t>
  </si>
  <si>
    <t xml:space="preserve">2026-05-05 to 2026-07-28</t>
  </si>
  <si>
    <t xml:space="preserve">Official releases</t>
  </si>
  <si>
    <t xml:space="preserve">https://policy.trade.ec.europa.eu/news/commission-imposes-anti-dumping-duties-imports-bdo-three-countries-2026-06-24_en</t>
  </si>
  <si>
    <t xml:space="preserve">Product-specific measures; not a sector-wide safeguard</t>
  </si>
  <si>
    <t xml:space="preserve">China response to proposed overcapacity instrument</t>
  </si>
  <si>
    <t xml:space="preserve">MOFCOM regular press conference</t>
  </si>
  <si>
    <t xml:space="preserve">2026-05-21</t>
  </si>
  <si>
    <t xml:space="preserve">Official statement</t>
  </si>
  <si>
    <t xml:space="preserve">https://english.mofcom.gov.cn/News/PressConference/art/2026/art_fe232668f62042d28245dd87ea2bfaba.html</t>
  </si>
  <si>
    <t xml:space="preserve">Explicit retaliation warning; no quantified BASF impact</t>
  </si>
  <si>
    <t xml:space="preserve">Practitioner view on product-specific measures and mass commodities</t>
  </si>
  <si>
    <t xml:space="preserve">Guidepoint, former BASF Managing Director</t>
  </si>
  <si>
    <t xml:space="preserve">2026-05-12</t>
  </si>
  <si>
    <t xml:space="preserve">Relevant Q&amp;A pairs</t>
  </si>
  <si>
    <t xml:space="preserve">https://platform.guidepoint.com/transcript?id=D34B1F3D-D1AF-4B5E-8B73-1857E370841F</t>
  </si>
  <si>
    <t xml:space="preserve">Practitioner opinion; not primary policy evidence</t>
  </si>
  <si>
    <t xml:space="preserve">Check</t>
  </si>
  <si>
    <t xml:space="preserve">Value / difference</t>
  </si>
  <si>
    <t xml:space="preserve">Tolerance</t>
  </si>
  <si>
    <t xml:space="preserve">Status</t>
  </si>
  <si>
    <t xml:space="preserve">Notes</t>
  </si>
  <si>
    <t xml:space="preserve">Last run</t>
  </si>
  <si>
    <t xml:space="preserve">Group 2025 sales equals segment sum</t>
  </si>
  <si>
    <t xml:space="preserve">€1m rounding tolerance</t>
  </si>
  <si>
    <t xml:space="preserve">Group Q2 sales equals segment sum</t>
  </si>
  <si>
    <t xml:space="preserve">Group H1 sales equals segment sum</t>
  </si>
  <si>
    <t xml:space="preserve">MS 2026 EPS absolute revision</t>
  </si>
  <si>
    <t xml:space="preserve">MS 2027 EPS absolute revision</t>
  </si>
  <si>
    <t xml:space="preserve">MS 2028 EPS absolute revision</t>
  </si>
  <si>
    <t xml:space="preserve">NPG/HDO forecast inclusion</t>
  </si>
  <si>
    <t xml:space="preserve">No forecast uplift booked</t>
  </si>
  <si>
    <t xml:space="preserve">Citi 2026 EBITDA segment sum</t>
  </si>
  <si>
    <t xml:space="preserve">Segment sum must equal group Figure 3 EBITDA bsi</t>
  </si>
  <si>
    <t xml:space="preserve">Citi 2027 EBITDA segment sum</t>
  </si>
  <si>
    <t xml:space="preserve">Citi 2026 EBITDA bridge sum</t>
  </si>
  <si>
    <t xml:space="preserve">Figure 1 bridge must equal €7,567m</t>
  </si>
  <si>
    <t xml:space="preserve">Citi 2027 consensus bridge sum</t>
  </si>
  <si>
    <t xml:space="preserve">Figure 2 bridge must equal €7,697m</t>
  </si>
  <si>
    <t xml:space="preserve">Citi 2026 sales segment sum</t>
  </si>
  <si>
    <t xml:space="preserve">€2m rounding tolerance between displayed segment rows and group sales</t>
  </si>
  <si>
    <t xml:space="preserve">Citi 2027 sales segment sum</t>
  </si>
  <si>
    <t xml:space="preserve">Formula error scan</t>
  </si>
  <si>
    <t xml:space="preserve">Updated after headless LibreOffice recalc</t>
  </si>
  <si>
    <t xml:space="preserve">Policy pricing low arithmetic</t>
  </si>
  <si>
    <t xml:space="preserve">10mt × 75% util. × 75% external × €100/t</t>
  </si>
  <si>
    <t xml:space="preserve">Policy pricing high arithmetic</t>
  </si>
  <si>
    <t xml:space="preserve">10mt × 75% util. × 80% external × €100/t</t>
  </si>
  <si>
    <t xml:space="preserve">Europe volume low arithmetic</t>
  </si>
  <si>
    <t xml:space="preserve">2ppt / 25% base</t>
  </si>
  <si>
    <t xml:space="preserve">Europe volume high arithmetic</t>
  </si>
  <si>
    <t xml:space="preserve">3ppt / 25% base</t>
  </si>
  <si>
    <t xml:space="preserve">Base-case policy uplift excluded</t>
  </si>
  <si>
    <t xml:space="preserve">No uplift booked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</si>
</sst>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[RED]\(0.0%\);\-"/>
    <numFmt numFmtId="166" formatCode="#,##0.0;[RED]\(#,##0.0\);\-"/>
    <numFmt numFmtId="167" formatCode="#,##0;[RED]\(#,##0\);\-"/>
    <numFmt numFmtId="168" formatCode="#,##0.0"/>
    <numFmt numFmtId="169" formatCode="0.0%"/>
    <numFmt numFmtId="170" formatCode="0.0"/>
    <numFmt numFmtId="171" formatCode="0.0\x"/>
    <numFmt numFmtId="172" formatCode="0.00%"/>
  </numFmts>
  <fonts count="17">
    <font>
      <sz val="11"/>
      <color theme="1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E4DFEC"/>
      </patternFill>
    </fill>
    <fill>
      <patternFill patternType="solid">
        <fgColor rgb="FFE4DFEC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4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6" fontId="13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8" fontId="13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3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4DFE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9"/>
    <col collapsed="false" customWidth="true" hidden="false" outlineLevel="0" max="28" min="2" style="1" width="19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Format="false" ht="15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customFormat="false" ht="15" hidden="false" customHeight="true" outlineLevel="0" collapsed="false">
      <c r="A5" s="6" t="s">
        <v>3</v>
      </c>
      <c r="B5" s="7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Format="false" ht="15" hidden="false" customHeight="true" outlineLevel="0" collapsed="false">
      <c r="A6" s="6" t="s">
        <v>5</v>
      </c>
      <c r="B6" s="7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Format="false" ht="15" hidden="false" customHeight="true" outlineLevel="0" collapsed="false">
      <c r="A7" s="6" t="s">
        <v>7</v>
      </c>
      <c r="B7" s="7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customFormat="false" ht="15" hidden="false" customHeight="true" outlineLevel="0" collapsed="false">
      <c r="A8" s="6" t="s">
        <v>9</v>
      </c>
      <c r="B8" s="7" t="s">
        <v>10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Format="false" ht="15" hidden="false" customHeight="true" outlineLevel="0" collapsed="false">
      <c r="A9" s="6" t="s">
        <v>11</v>
      </c>
      <c r="B9" s="7" t="s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Format="false" ht="15" hidden="false" customHeight="true" outlineLevel="0" collapsed="false">
      <c r="A10" s="6" t="s">
        <v>13</v>
      </c>
      <c r="B10" s="7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customFormat="false" ht="15" hidden="false" customHeight="true" outlineLevel="0" collapsed="false">
      <c r="A11" s="6" t="s">
        <v>15</v>
      </c>
      <c r="B11" s="7" t="s">
        <v>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customFormat="false" ht="15" hidden="false" customHeight="true" outlineLevel="0" collapsed="false">
      <c r="A12" s="6" t="s">
        <v>17</v>
      </c>
      <c r="B12" s="7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customFormat="false" ht="15" hidden="false" customHeight="true" outlineLevel="0" collapsed="false">
      <c r="A13" s="6" t="s">
        <v>19</v>
      </c>
      <c r="B13" s="7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customFormat="false" ht="15" hidden="false" customHeight="true" outlineLevel="0" collapsed="false">
      <c r="A15" s="5" t="s">
        <v>21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customFormat="false" ht="15" hidden="false" customHeight="true" outlineLevel="0" collapsed="false">
      <c r="A16" s="6" t="s">
        <v>22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customFormat="false" ht="15" hidden="false" customHeight="true" outlineLevel="0" collapsed="false">
      <c r="A17" s="6" t="s">
        <v>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customFormat="false" ht="15" hidden="false" customHeight="true" outlineLevel="0" collapsed="false">
      <c r="A18" s="6" t="s">
        <v>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customFormat="false" ht="15" hidden="false" customHeight="true" outlineLevel="0" collapsed="false">
      <c r="A19" s="6" t="s">
        <v>25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customFormat="false" ht="15" hidden="false" customHeight="true" outlineLevel="0" collapsed="false">
      <c r="A20" s="6" t="s">
        <v>26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customFormat="false" ht="15" hidden="false" customHeight="true" outlineLevel="0" collapsed="false">
      <c r="A21" s="6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customFormat="false" ht="15" hidden="false" customHeight="true" outlineLevel="0" collapsed="false">
      <c r="A22" s="6" t="s">
        <v>28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customFormat="false" ht="15" hidden="false" customHeight="true" outlineLevel="0" collapsed="false">
      <c r="A24" s="5" t="s">
        <v>29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customFormat="false" ht="15" hidden="false" customHeight="true" outlineLevel="0" collapsed="false">
      <c r="A25" s="6" t="s">
        <v>30</v>
      </c>
      <c r="B25" s="7" t="s">
        <v>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customFormat="false" ht="15" hidden="false" customHeight="true" outlineLevel="0" collapsed="false">
      <c r="A26" s="6" t="s">
        <v>32</v>
      </c>
      <c r="B26" s="9" t="s">
        <v>31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customFormat="false" ht="15" hidden="false" customHeight="true" outlineLevel="0" collapsed="false">
      <c r="A27" s="6" t="s">
        <v>33</v>
      </c>
      <c r="B27" s="10" t="s">
        <v>31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customFormat="false" ht="15" hidden="false" customHeight="true" outlineLevel="0" collapsed="false">
      <c r="A28" s="6" t="s">
        <v>34</v>
      </c>
      <c r="B28" s="11" t="s">
        <v>31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customFormat="false" ht="15" hidden="false" customHeight="true" outlineLevel="0" collapsed="false">
      <c r="A29" s="6" t="s">
        <v>35</v>
      </c>
      <c r="B29" s="12" t="s">
        <v>31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</sheetData>
  <mergeCells count="10">
    <mergeCell ref="A1:AB1"/>
    <mergeCell ref="A2:AB2"/>
    <mergeCell ref="A4:AB4"/>
    <mergeCell ref="A15:AB15"/>
    <mergeCell ref="A16:AB16"/>
    <mergeCell ref="A17:AB17"/>
    <mergeCell ref="A18:AB18"/>
    <mergeCell ref="A19:AB19"/>
    <mergeCell ref="A20:AB20"/>
    <mergeCell ref="A22:A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9"/>
    <col collapsed="false" customWidth="true" hidden="false" outlineLevel="0" max="7" min="2" style="1" width="19"/>
  </cols>
  <sheetData>
    <row r="1" customFormat="false" ht="29.25" hidden="false" customHeight="true" outlineLevel="0" collapsed="false">
      <c r="A1" s="2" t="s">
        <v>36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4" t="s">
        <v>8</v>
      </c>
      <c r="B2" s="4" t="s">
        <v>10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13" t="s">
        <v>42</v>
      </c>
      <c r="B4" s="13"/>
      <c r="C4" s="13"/>
      <c r="D4" s="13"/>
      <c r="E4" s="13"/>
      <c r="F4" s="13"/>
      <c r="G4" s="4"/>
    </row>
    <row r="5" customFormat="false" ht="15.75" hidden="false" customHeight="true" outlineLevel="0" collapsed="false">
      <c r="A5" s="4" t="s">
        <v>43</v>
      </c>
      <c r="B5" s="14" t="n">
        <v>10055</v>
      </c>
      <c r="C5" s="14" t="n">
        <v>3595</v>
      </c>
      <c r="D5" s="14" t="n">
        <v>6257</v>
      </c>
      <c r="E5" s="4"/>
      <c r="F5" s="4"/>
      <c r="G5" s="4"/>
    </row>
    <row r="6" customFormat="false" ht="15.75" hidden="false" customHeight="true" outlineLevel="0" collapsed="false">
      <c r="A6" s="4" t="s">
        <v>44</v>
      </c>
      <c r="B6" s="14" t="n">
        <v>853</v>
      </c>
      <c r="C6" s="14" t="n">
        <v>377</v>
      </c>
      <c r="D6" s="14" t="n">
        <v>610</v>
      </c>
      <c r="E6" s="4"/>
      <c r="F6" s="4"/>
      <c r="G6" s="4"/>
    </row>
    <row r="7" customFormat="false" ht="15.75" hidden="false" customHeight="true" outlineLevel="0" collapsed="false">
      <c r="A7" s="4" t="s">
        <v>45</v>
      </c>
      <c r="B7" s="15" t="n">
        <f aca="false">IFERROR(B6/B5,"")</f>
        <v>0.0848334162108404</v>
      </c>
      <c r="C7" s="15" t="n">
        <f aca="false">IFERROR(C6/C5,"")</f>
        <v>0.104867872044506</v>
      </c>
      <c r="D7" s="15" t="n">
        <f aca="false">IFERROR(D6/D5,"")</f>
        <v>0.0974908102924724</v>
      </c>
      <c r="E7" s="16"/>
      <c r="F7" s="16"/>
      <c r="G7" s="16"/>
    </row>
    <row r="8" customFormat="false" ht="15.75" hidden="false" customHeight="true" outlineLevel="0" collapsed="false">
      <c r="A8" s="4" t="s">
        <v>46</v>
      </c>
      <c r="B8" s="14" t="n">
        <v>1120</v>
      </c>
      <c r="C8" s="14" t="n">
        <v>310</v>
      </c>
      <c r="D8" s="14" t="n">
        <v>595</v>
      </c>
      <c r="E8" s="4"/>
      <c r="F8" s="4"/>
      <c r="G8" s="4"/>
    </row>
    <row r="9" customFormat="false" ht="15.75" hidden="false" customHeight="true" outlineLevel="0" collapsed="false">
      <c r="A9" s="4" t="s">
        <v>47</v>
      </c>
      <c r="B9" s="17" t="n">
        <f aca="false">IF(OR(B6="",B8=""),"",B6-B8)</f>
        <v>-267</v>
      </c>
      <c r="C9" s="17" t="n">
        <f aca="false">IF(OR(C6="",C8=""),"",C6-C8)</f>
        <v>67</v>
      </c>
      <c r="D9" s="17" t="n">
        <f aca="false">IF(OR(D6="",D8=""),"",D6-D8)</f>
        <v>15</v>
      </c>
      <c r="E9" s="4"/>
      <c r="F9" s="4"/>
      <c r="G9" s="4"/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true" outlineLevel="0" collapsed="false">
      <c r="A11" s="13" t="s">
        <v>48</v>
      </c>
      <c r="B11" s="13"/>
      <c r="C11" s="13"/>
      <c r="D11" s="13"/>
      <c r="E11" s="13"/>
      <c r="F11" s="13"/>
      <c r="G11" s="4"/>
    </row>
    <row r="12" customFormat="false" ht="15.75" hidden="false" customHeight="true" outlineLevel="0" collapsed="false">
      <c r="A12" s="4" t="s">
        <v>43</v>
      </c>
      <c r="B12" s="14" t="n">
        <v>12742</v>
      </c>
      <c r="C12" s="14" t="n">
        <v>3790</v>
      </c>
      <c r="D12" s="14" t="n">
        <v>7028</v>
      </c>
      <c r="E12" s="4"/>
      <c r="F12" s="4"/>
      <c r="G12" s="4"/>
    </row>
    <row r="13" customFormat="false" ht="15.75" hidden="false" customHeight="true" outlineLevel="0" collapsed="false">
      <c r="A13" s="4" t="s">
        <v>44</v>
      </c>
      <c r="B13" s="14" t="n">
        <v>1575</v>
      </c>
      <c r="C13" s="14" t="n">
        <v>792</v>
      </c>
      <c r="D13" s="14" t="n">
        <v>1303</v>
      </c>
      <c r="E13" s="4"/>
      <c r="F13" s="4"/>
      <c r="G13" s="4"/>
    </row>
    <row r="14" customFormat="false" ht="15.75" hidden="false" customHeight="true" outlineLevel="0" collapsed="false">
      <c r="A14" s="4" t="s">
        <v>45</v>
      </c>
      <c r="B14" s="15" t="n">
        <f aca="false">IFERROR(B13/B12,"")</f>
        <v>0.123606969078638</v>
      </c>
      <c r="C14" s="15" t="n">
        <f aca="false">IFERROR(C13/C12,"")</f>
        <v>0.208970976253298</v>
      </c>
      <c r="D14" s="15" t="n">
        <f aca="false">IFERROR(D13/D12,"")</f>
        <v>0.18540125213432</v>
      </c>
      <c r="E14" s="16"/>
      <c r="F14" s="16"/>
      <c r="G14" s="16"/>
    </row>
    <row r="15" customFormat="false" ht="15.75" hidden="false" customHeight="true" outlineLevel="0" collapsed="false">
      <c r="A15" s="4" t="s">
        <v>46</v>
      </c>
      <c r="B15" s="14" t="n">
        <v>867</v>
      </c>
      <c r="C15" s="14" t="n">
        <v>189</v>
      </c>
      <c r="D15" s="14" t="n">
        <v>375</v>
      </c>
      <c r="E15" s="4"/>
      <c r="F15" s="4"/>
      <c r="G15" s="4"/>
    </row>
    <row r="16" customFormat="false" ht="15.75" hidden="false" customHeight="true" outlineLevel="0" collapsed="false">
      <c r="A16" s="4" t="s">
        <v>47</v>
      </c>
      <c r="B16" s="17" t="n">
        <f aca="false">IF(OR(B13="",B15=""),"",B13-B15)</f>
        <v>708</v>
      </c>
      <c r="C16" s="17" t="n">
        <f aca="false">IF(OR(C13="",C15=""),"",C13-C15)</f>
        <v>603</v>
      </c>
      <c r="D16" s="17" t="n">
        <f aca="false">IF(OR(D13="",D15=""),"",D13-D15)</f>
        <v>928</v>
      </c>
      <c r="E16" s="4"/>
      <c r="F16" s="4"/>
      <c r="G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true" outlineLevel="0" collapsed="false">
      <c r="A18" s="13" t="s">
        <v>49</v>
      </c>
      <c r="B18" s="13"/>
      <c r="C18" s="13"/>
      <c r="D18" s="13"/>
      <c r="E18" s="13"/>
      <c r="F18" s="13"/>
      <c r="G18" s="4"/>
    </row>
    <row r="19" customFormat="false" ht="15.75" hidden="false" customHeight="true" outlineLevel="0" collapsed="false">
      <c r="A19" s="4" t="s">
        <v>43</v>
      </c>
      <c r="B19" s="14" t="n">
        <v>8594</v>
      </c>
      <c r="C19" s="14" t="n">
        <v>2328</v>
      </c>
      <c r="D19" s="14" t="n">
        <v>4420</v>
      </c>
      <c r="E19" s="4"/>
      <c r="F19" s="4"/>
      <c r="G19" s="4"/>
    </row>
    <row r="20" customFormat="false" ht="15.75" hidden="false" customHeight="true" outlineLevel="0" collapsed="false">
      <c r="A20" s="4" t="s">
        <v>44</v>
      </c>
      <c r="B20" s="14" t="n">
        <v>1200</v>
      </c>
      <c r="C20" s="14" t="n">
        <v>434</v>
      </c>
      <c r="D20" s="14" t="n">
        <v>795</v>
      </c>
      <c r="E20" s="4"/>
      <c r="F20" s="4"/>
      <c r="G20" s="4"/>
    </row>
    <row r="21" customFormat="false" ht="15.75" hidden="false" customHeight="true" outlineLevel="0" collapsed="false">
      <c r="A21" s="4" t="s">
        <v>45</v>
      </c>
      <c r="B21" s="15" t="n">
        <f aca="false">IFERROR(B20/B19,"")</f>
        <v>0.139632301605771</v>
      </c>
      <c r="C21" s="15" t="n">
        <f aca="false">IFERROR(C20/C19,"")</f>
        <v>0.186426116838488</v>
      </c>
      <c r="D21" s="15" t="n">
        <f aca="false">IFERROR(D20/D19,"")</f>
        <v>0.179864253393665</v>
      </c>
      <c r="E21" s="16"/>
      <c r="F21" s="16"/>
      <c r="G21" s="16"/>
    </row>
    <row r="22" customFormat="false" ht="15.75" hidden="false" customHeight="true" outlineLevel="0" collapsed="false">
      <c r="A22" s="4" t="s">
        <v>46</v>
      </c>
      <c r="B22" s="14" t="n">
        <v>448</v>
      </c>
      <c r="C22" s="14" t="n">
        <v>148</v>
      </c>
      <c r="D22" s="14" t="n">
        <v>243</v>
      </c>
      <c r="E22" s="4"/>
      <c r="F22" s="4"/>
      <c r="G22" s="4"/>
    </row>
    <row r="23" customFormat="false" ht="15.75" hidden="false" customHeight="true" outlineLevel="0" collapsed="false">
      <c r="A23" s="4" t="s">
        <v>47</v>
      </c>
      <c r="B23" s="17" t="n">
        <f aca="false">IF(OR(B20="",B22=""),"",B20-B22)</f>
        <v>752</v>
      </c>
      <c r="C23" s="17" t="n">
        <f aca="false">IF(OR(C20="",C22=""),"",C20-C22)</f>
        <v>286</v>
      </c>
      <c r="D23" s="17" t="n">
        <f aca="false">IF(OR(D20="",D22=""),"",D20-D22)</f>
        <v>552</v>
      </c>
      <c r="E23" s="4"/>
      <c r="F23" s="4"/>
      <c r="G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</row>
    <row r="25" customFormat="false" ht="15" hidden="false" customHeight="true" outlineLevel="0" collapsed="false">
      <c r="A25" s="13" t="s">
        <v>50</v>
      </c>
      <c r="B25" s="13"/>
      <c r="C25" s="13"/>
      <c r="D25" s="13"/>
      <c r="E25" s="13"/>
      <c r="F25" s="13"/>
      <c r="G25" s="4"/>
    </row>
    <row r="26" customFormat="false" ht="15.75" hidden="false" customHeight="true" outlineLevel="0" collapsed="false">
      <c r="A26" s="4" t="s">
        <v>43</v>
      </c>
      <c r="B26" s="14" t="n">
        <v>6509</v>
      </c>
      <c r="C26" s="14" t="n">
        <v>1709</v>
      </c>
      <c r="D26" s="14" t="n">
        <v>3378</v>
      </c>
      <c r="E26" s="4"/>
      <c r="F26" s="4"/>
      <c r="G26" s="4"/>
    </row>
    <row r="27" customFormat="false" ht="15.75" hidden="false" customHeight="true" outlineLevel="0" collapsed="false">
      <c r="A27" s="4" t="s">
        <v>44</v>
      </c>
      <c r="B27" s="14" t="n">
        <v>649</v>
      </c>
      <c r="C27" s="14" t="n">
        <v>204</v>
      </c>
      <c r="D27" s="14" t="n">
        <v>396</v>
      </c>
      <c r="E27" s="4"/>
      <c r="F27" s="4"/>
      <c r="G27" s="4"/>
    </row>
    <row r="28" customFormat="false" ht="15.75" hidden="false" customHeight="true" outlineLevel="0" collapsed="false">
      <c r="A28" s="4" t="s">
        <v>45</v>
      </c>
      <c r="B28" s="15" t="n">
        <f aca="false">IFERROR(B27/B26,"")</f>
        <v>0.0997080964817944</v>
      </c>
      <c r="C28" s="15" t="n">
        <f aca="false">IFERROR(C27/C26,"")</f>
        <v>0.119368051492101</v>
      </c>
      <c r="D28" s="15" t="n">
        <f aca="false">IFERROR(D27/D26,"")</f>
        <v>0.117229129662522</v>
      </c>
      <c r="E28" s="16"/>
      <c r="F28" s="16"/>
      <c r="G28" s="16"/>
    </row>
    <row r="29" customFormat="false" ht="15.75" hidden="false" customHeight="true" outlineLevel="0" collapsed="false">
      <c r="A29" s="4" t="s">
        <v>46</v>
      </c>
      <c r="B29" s="14" t="n">
        <v>554</v>
      </c>
      <c r="C29" s="14" t="n">
        <v>144</v>
      </c>
      <c r="D29" s="14" t="n">
        <v>282</v>
      </c>
      <c r="E29" s="4"/>
      <c r="F29" s="4"/>
      <c r="G29" s="4"/>
    </row>
    <row r="30" customFormat="false" ht="15.75" hidden="false" customHeight="true" outlineLevel="0" collapsed="false">
      <c r="A30" s="4" t="s">
        <v>47</v>
      </c>
      <c r="B30" s="17" t="n">
        <f aca="false">IF(OR(B27="",B29=""),"",B27-B29)</f>
        <v>95</v>
      </c>
      <c r="C30" s="17" t="n">
        <f aca="false">IF(OR(C27="",C29=""),"",C27-C29)</f>
        <v>60</v>
      </c>
      <c r="D30" s="17" t="n">
        <f aca="false">IF(OR(D27="",D29=""),"",D27-D29)</f>
        <v>114</v>
      </c>
      <c r="E30" s="4"/>
      <c r="F30" s="4"/>
      <c r="G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</row>
    <row r="32" customFormat="false" ht="15" hidden="false" customHeight="true" outlineLevel="0" collapsed="false">
      <c r="A32" s="13" t="s">
        <v>51</v>
      </c>
      <c r="B32" s="13"/>
      <c r="C32" s="13"/>
      <c r="D32" s="13"/>
      <c r="E32" s="13"/>
      <c r="F32" s="13"/>
      <c r="G32" s="4"/>
    </row>
    <row r="33" customFormat="false" ht="15.75" hidden="false" customHeight="true" outlineLevel="0" collapsed="false">
      <c r="A33" s="4" t="s">
        <v>43</v>
      </c>
      <c r="B33" s="14" t="n">
        <v>8967</v>
      </c>
      <c r="C33" s="14" t="n">
        <v>2625</v>
      </c>
      <c r="D33" s="14" t="n">
        <v>5031</v>
      </c>
      <c r="E33" s="4"/>
      <c r="F33" s="4"/>
      <c r="G33" s="4"/>
    </row>
    <row r="34" customFormat="false" ht="15.75" hidden="false" customHeight="true" outlineLevel="0" collapsed="false">
      <c r="A34" s="4" t="s">
        <v>44</v>
      </c>
      <c r="B34" s="14" t="n">
        <v>800</v>
      </c>
      <c r="C34" s="14" t="n">
        <v>115</v>
      </c>
      <c r="D34" s="14" t="n">
        <v>391</v>
      </c>
      <c r="E34" s="4"/>
      <c r="F34" s="4"/>
      <c r="G34" s="4"/>
    </row>
    <row r="35" customFormat="false" ht="15.75" hidden="false" customHeight="true" outlineLevel="0" collapsed="false">
      <c r="A35" s="4" t="s">
        <v>45</v>
      </c>
      <c r="B35" s="15" t="n">
        <f aca="false">IFERROR(B34/B33,"")</f>
        <v>0.0892160142745623</v>
      </c>
      <c r="C35" s="15" t="n">
        <f aca="false">IFERROR(C34/C33,"")</f>
        <v>0.0438095238095238</v>
      </c>
      <c r="D35" s="15" t="n">
        <f aca="false">IFERROR(D34/D33,"")</f>
        <v>0.0777181474855894</v>
      </c>
      <c r="E35" s="16"/>
      <c r="F35" s="16"/>
      <c r="G35" s="16"/>
    </row>
    <row r="36" customFormat="false" ht="15.75" hidden="false" customHeight="true" outlineLevel="0" collapsed="false">
      <c r="A36" s="4" t="s">
        <v>46</v>
      </c>
      <c r="B36" s="14" t="n">
        <v>253</v>
      </c>
      <c r="C36" s="14" t="n">
        <v>50</v>
      </c>
      <c r="D36" s="14" t="n">
        <v>102</v>
      </c>
      <c r="E36" s="4"/>
      <c r="F36" s="4"/>
      <c r="G36" s="4"/>
    </row>
    <row r="37" customFormat="false" ht="15.75" hidden="false" customHeight="true" outlineLevel="0" collapsed="false">
      <c r="A37" s="4" t="s">
        <v>47</v>
      </c>
      <c r="B37" s="17" t="n">
        <f aca="false">IF(OR(B34="",B36=""),"",B34-B36)</f>
        <v>547</v>
      </c>
      <c r="C37" s="17" t="n">
        <f aca="false">IF(OR(C34="",C36=""),"",C34-C36)</f>
        <v>65</v>
      </c>
      <c r="D37" s="17" t="n">
        <f aca="false">IF(OR(D34="",D36=""),"",D34-D36)</f>
        <v>289</v>
      </c>
      <c r="E37" s="4"/>
      <c r="F37" s="4"/>
      <c r="G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</row>
    <row r="39" customFormat="false" ht="15" hidden="false" customHeight="true" outlineLevel="0" collapsed="false">
      <c r="A39" s="13" t="s">
        <v>52</v>
      </c>
      <c r="B39" s="13"/>
      <c r="C39" s="13"/>
      <c r="D39" s="13"/>
      <c r="E39" s="13"/>
      <c r="F39" s="13"/>
      <c r="G39" s="4"/>
    </row>
    <row r="40" customFormat="false" ht="15.75" hidden="false" customHeight="true" outlineLevel="0" collapsed="false">
      <c r="A40" s="4" t="s">
        <v>43</v>
      </c>
      <c r="B40" s="14" t="n">
        <v>9587</v>
      </c>
      <c r="C40" s="14" t="n">
        <v>2210</v>
      </c>
      <c r="D40" s="14" t="n">
        <v>5315</v>
      </c>
      <c r="E40" s="4"/>
      <c r="F40" s="4"/>
      <c r="G40" s="4"/>
    </row>
    <row r="41" customFormat="false" ht="15.75" hidden="false" customHeight="true" outlineLevel="0" collapsed="false">
      <c r="A41" s="4" t="s">
        <v>44</v>
      </c>
      <c r="B41" s="14" t="n">
        <v>2081</v>
      </c>
      <c r="C41" s="14" t="n">
        <v>448</v>
      </c>
      <c r="D41" s="14" t="n">
        <v>1550</v>
      </c>
      <c r="E41" s="4"/>
      <c r="F41" s="4"/>
      <c r="G41" s="4"/>
    </row>
    <row r="42" customFormat="false" ht="15.75" hidden="false" customHeight="true" outlineLevel="0" collapsed="false">
      <c r="A42" s="4" t="s">
        <v>45</v>
      </c>
      <c r="B42" s="15" t="n">
        <f aca="false">IFERROR(B41/B40,"")</f>
        <v>0.217064775216439</v>
      </c>
      <c r="C42" s="15" t="n">
        <f aca="false">IFERROR(C41/C40,"")</f>
        <v>0.202714932126697</v>
      </c>
      <c r="D42" s="15" t="n">
        <f aca="false">IFERROR(D41/D40,"")</f>
        <v>0.291627469426152</v>
      </c>
      <c r="E42" s="16"/>
      <c r="F42" s="16"/>
      <c r="G42" s="16"/>
    </row>
    <row r="43" customFormat="false" ht="15.75" hidden="false" customHeight="true" outlineLevel="0" collapsed="false">
      <c r="A43" s="4" t="s">
        <v>46</v>
      </c>
      <c r="B43" s="14" t="n">
        <v>583</v>
      </c>
      <c r="C43" s="14" t="n">
        <v>140</v>
      </c>
      <c r="D43" s="14" t="n">
        <v>274</v>
      </c>
      <c r="E43" s="4"/>
      <c r="F43" s="4"/>
      <c r="G43" s="4"/>
    </row>
    <row r="44" customFormat="false" ht="15.75" hidden="false" customHeight="true" outlineLevel="0" collapsed="false">
      <c r="A44" s="4" t="s">
        <v>47</v>
      </c>
      <c r="B44" s="17" t="n">
        <f aca="false">IF(OR(B41="",B43=""),"",B41-B43)</f>
        <v>1498</v>
      </c>
      <c r="C44" s="17" t="n">
        <f aca="false">IF(OR(C41="",C43=""),"",C41-C43)</f>
        <v>308</v>
      </c>
      <c r="D44" s="17" t="n">
        <f aca="false">IF(OR(D41="",D43=""),"",D41-D43)</f>
        <v>1276</v>
      </c>
      <c r="E44" s="4"/>
      <c r="F44" s="4"/>
      <c r="G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</row>
    <row r="46" customFormat="false" ht="15" hidden="false" customHeight="true" outlineLevel="0" collapsed="false">
      <c r="A46" s="13" t="s">
        <v>53</v>
      </c>
      <c r="B46" s="13"/>
      <c r="C46" s="13"/>
      <c r="D46" s="13"/>
      <c r="E46" s="13"/>
      <c r="F46" s="13"/>
      <c r="G46" s="4"/>
    </row>
    <row r="47" customFormat="false" ht="15.75" hidden="false" customHeight="true" outlineLevel="0" collapsed="false">
      <c r="A47" s="4" t="s">
        <v>43</v>
      </c>
      <c r="B47" s="14" t="n">
        <v>3202</v>
      </c>
      <c r="C47" s="14" t="n">
        <v>948</v>
      </c>
      <c r="D47" s="14" t="n">
        <v>1797</v>
      </c>
      <c r="E47" s="4"/>
      <c r="F47" s="4"/>
      <c r="G47" s="4"/>
    </row>
    <row r="48" customFormat="false" ht="15.75" hidden="false" customHeight="true" outlineLevel="0" collapsed="false">
      <c r="A48" s="4" t="s">
        <v>44</v>
      </c>
      <c r="B48" s="14" t="n">
        <v>-604</v>
      </c>
      <c r="C48" s="14" t="n">
        <v>80</v>
      </c>
      <c r="D48" s="14" t="n">
        <v>-239</v>
      </c>
      <c r="E48" s="4"/>
      <c r="F48" s="4"/>
      <c r="G48" s="4"/>
    </row>
    <row r="49" customFormat="false" ht="15.75" hidden="false" customHeight="true" outlineLevel="0" collapsed="false">
      <c r="A49" s="4" t="s">
        <v>45</v>
      </c>
      <c r="B49" s="15" t="n">
        <f aca="false">IFERROR(B48/B47,"")</f>
        <v>-0.188632104934416</v>
      </c>
      <c r="C49" s="15" t="n">
        <f aca="false">IFERROR(C48/C47,"")</f>
        <v>0.0843881856540084</v>
      </c>
      <c r="D49" s="15" t="n">
        <f aca="false">IFERROR(D48/D47,"")</f>
        <v>-0.132999443516973</v>
      </c>
      <c r="E49" s="16"/>
      <c r="F49" s="16"/>
      <c r="G49" s="16"/>
    </row>
    <row r="50" customFormat="false" ht="15.75" hidden="false" customHeight="true" outlineLevel="0" collapsed="false">
      <c r="A50" s="4" t="s">
        <v>46</v>
      </c>
      <c r="B50" s="14" t="n">
        <v>159</v>
      </c>
      <c r="C50" s="14" t="n">
        <v>48</v>
      </c>
      <c r="D50" s="14" t="n">
        <v>83</v>
      </c>
      <c r="E50" s="4"/>
      <c r="F50" s="4"/>
      <c r="G50" s="4"/>
    </row>
    <row r="51" customFormat="false" ht="15.75" hidden="false" customHeight="true" outlineLevel="0" collapsed="false">
      <c r="A51" s="4" t="s">
        <v>47</v>
      </c>
      <c r="B51" s="17" t="n">
        <f aca="false">IF(OR(B48="",B50=""),"",B48-B50)</f>
        <v>-763</v>
      </c>
      <c r="C51" s="17" t="n">
        <f aca="false">IF(OR(C48="",C50=""),"",C48-C50)</f>
        <v>32</v>
      </c>
      <c r="D51" s="17" t="n">
        <f aca="false">IF(OR(D48="",D50=""),"",D48-D50)</f>
        <v>-322</v>
      </c>
      <c r="E51" s="4"/>
      <c r="F51" s="4"/>
      <c r="G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</row>
    <row r="53" customFormat="false" ht="15" hidden="false" customHeight="true" outlineLevel="0" collapsed="false">
      <c r="A53" s="13" t="s">
        <v>54</v>
      </c>
      <c r="B53" s="13"/>
      <c r="C53" s="13"/>
      <c r="D53" s="13"/>
      <c r="E53" s="13"/>
      <c r="F53" s="13"/>
      <c r="G53" s="4"/>
    </row>
    <row r="54" customFormat="false" ht="15.75" hidden="false" customHeight="true" outlineLevel="0" collapsed="false">
      <c r="A54" s="4" t="s">
        <v>43</v>
      </c>
      <c r="B54" s="14" t="n">
        <v>59657</v>
      </c>
      <c r="C54" s="14" t="n">
        <v>17206</v>
      </c>
      <c r="D54" s="14" t="n">
        <v>33226</v>
      </c>
      <c r="E54" s="4"/>
      <c r="F54" s="4"/>
      <c r="G54" s="4"/>
    </row>
    <row r="55" customFormat="false" ht="15.75" hidden="false" customHeight="true" outlineLevel="0" collapsed="false">
      <c r="A55" s="4" t="s">
        <v>44</v>
      </c>
      <c r="B55" s="14" t="n">
        <v>6554</v>
      </c>
      <c r="C55" s="14" t="n">
        <v>2449</v>
      </c>
      <c r="D55" s="14" t="n">
        <v>4805</v>
      </c>
      <c r="E55" s="4"/>
      <c r="F55" s="4"/>
      <c r="G55" s="4"/>
    </row>
    <row r="56" customFormat="false" ht="15.75" hidden="false" customHeight="true" outlineLevel="0" collapsed="false">
      <c r="A56" s="4" t="s">
        <v>45</v>
      </c>
      <c r="B56" s="15" t="n">
        <f aca="false">IFERROR(B55/B54,"")</f>
        <v>0.109861374189114</v>
      </c>
      <c r="C56" s="15" t="n">
        <f aca="false">IFERROR(C55/C54,"")</f>
        <v>0.142334069510636</v>
      </c>
      <c r="D56" s="15" t="n">
        <f aca="false">IFERROR(D55/D54,"")</f>
        <v>0.144615662433034</v>
      </c>
      <c r="E56" s="16"/>
      <c r="F56" s="16"/>
      <c r="G56" s="16"/>
    </row>
    <row r="57" customFormat="false" ht="15.75" hidden="false" customHeight="true" outlineLevel="0" collapsed="false">
      <c r="A57" s="4" t="s">
        <v>46</v>
      </c>
      <c r="B57" s="14" t="n">
        <v>3984</v>
      </c>
      <c r="C57" s="14" t="n">
        <v>1028</v>
      </c>
      <c r="D57" s="14" t="n">
        <v>1953</v>
      </c>
      <c r="E57" s="4"/>
      <c r="F57" s="4"/>
      <c r="G57" s="4"/>
    </row>
    <row r="58" customFormat="false" ht="15.75" hidden="false" customHeight="true" outlineLevel="0" collapsed="false">
      <c r="A58" s="4" t="s">
        <v>47</v>
      </c>
      <c r="B58" s="17" t="n">
        <f aca="false">IF(OR(B55="",B57=""),"",B55-B57)</f>
        <v>2570</v>
      </c>
      <c r="C58" s="17" t="n">
        <f aca="false">IF(OR(C55="",C57=""),"",C55-C57)</f>
        <v>1421</v>
      </c>
      <c r="D58" s="17" t="n">
        <f aca="false">IF(OR(D55="",D57=""),"",D55-D57)</f>
        <v>2852</v>
      </c>
      <c r="E58" s="4"/>
      <c r="F58" s="4"/>
      <c r="G5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9"/>
    <col collapsed="false" customWidth="true" hidden="false" outlineLevel="0" max="6" min="2" style="1" width="19"/>
  </cols>
  <sheetData>
    <row r="1" customFormat="false" ht="29.25" hidden="false" customHeight="true" outlineLevel="0" collapsed="false">
      <c r="A1" s="2" t="s">
        <v>55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18" t="s">
        <v>56</v>
      </c>
      <c r="B2" s="18" t="s">
        <v>10</v>
      </c>
      <c r="C2" s="18" t="s">
        <v>39</v>
      </c>
      <c r="D2" s="18" t="s">
        <v>40</v>
      </c>
      <c r="E2" s="18" t="s">
        <v>41</v>
      </c>
      <c r="F2" s="18" t="s">
        <v>57</v>
      </c>
    </row>
    <row r="3" customFormat="false" ht="60.75" hidden="false" customHeight="true" outlineLevel="0" collapsed="false">
      <c r="A3" s="4" t="s">
        <v>58</v>
      </c>
      <c r="B3" s="4"/>
      <c r="C3" s="19" t="n">
        <v>61053</v>
      </c>
      <c r="D3" s="19" t="n">
        <v>63400.15</v>
      </c>
      <c r="E3" s="19" t="n">
        <v>65111.95</v>
      </c>
      <c r="F3" s="4" t="s">
        <v>59</v>
      </c>
    </row>
    <row r="4" customFormat="false" ht="15.75" hidden="false" customHeight="true" outlineLevel="0" collapsed="false">
      <c r="A4" s="4" t="s">
        <v>60</v>
      </c>
      <c r="B4" s="16"/>
      <c r="C4" s="20" t="n">
        <v>0.02</v>
      </c>
      <c r="D4" s="20" t="n">
        <v>0.005</v>
      </c>
      <c r="E4" s="20" t="n">
        <v>0.027</v>
      </c>
      <c r="F4" s="16" t="s">
        <v>61</v>
      </c>
    </row>
    <row r="5" customFormat="false" ht="45.75" hidden="false" customHeight="true" outlineLevel="0" collapsed="false">
      <c r="A5" s="4" t="s">
        <v>62</v>
      </c>
      <c r="B5" s="4"/>
      <c r="C5" s="19" t="n">
        <v>7728</v>
      </c>
      <c r="D5" s="19" t="n">
        <v>7798.21845</v>
      </c>
      <c r="E5" s="19" t="n">
        <v>8139.99375</v>
      </c>
      <c r="F5" s="4" t="s">
        <v>63</v>
      </c>
    </row>
    <row r="6" customFormat="false" ht="60.75" hidden="false" customHeight="true" outlineLevel="0" collapsed="false">
      <c r="A6" s="4" t="s">
        <v>64</v>
      </c>
      <c r="B6" s="16"/>
      <c r="C6" s="20" t="n">
        <v>0.127</v>
      </c>
      <c r="D6" s="20" t="n">
        <v>0.123</v>
      </c>
      <c r="E6" s="20" t="n">
        <v>0.125</v>
      </c>
      <c r="F6" s="16" t="s">
        <v>65</v>
      </c>
    </row>
    <row r="7" customFormat="false" ht="45.75" hidden="false" customHeight="true" outlineLevel="0" collapsed="false">
      <c r="A7" s="4" t="s">
        <v>66</v>
      </c>
      <c r="B7" s="4"/>
      <c r="C7" s="19" t="n">
        <v>3.46</v>
      </c>
      <c r="D7" s="19" t="n">
        <v>3.14</v>
      </c>
      <c r="E7" s="19" t="n">
        <v>3.49</v>
      </c>
      <c r="F7" s="4" t="s">
        <v>67</v>
      </c>
    </row>
    <row r="8" customFormat="false" ht="30.75" hidden="false" customHeight="true" outlineLevel="0" collapsed="false">
      <c r="A8" s="4" t="s">
        <v>68</v>
      </c>
      <c r="B8" s="19" t="n">
        <v>2.24</v>
      </c>
      <c r="C8" s="19" t="n">
        <v>3.44</v>
      </c>
      <c r="D8" s="19" t="n">
        <v>3.12</v>
      </c>
      <c r="E8" s="19" t="n">
        <v>3.39</v>
      </c>
      <c r="F8" s="4" t="s">
        <v>69</v>
      </c>
    </row>
    <row r="9" customFormat="false" ht="15.75" hidden="false" customHeight="true" outlineLevel="0" collapsed="false">
      <c r="A9" s="4" t="s">
        <v>70</v>
      </c>
      <c r="B9" s="4"/>
      <c r="C9" s="21" t="n">
        <v>-0.02</v>
      </c>
      <c r="D9" s="21" t="n">
        <v>-0.02</v>
      </c>
      <c r="E9" s="21" t="n">
        <v>-0.1</v>
      </c>
      <c r="F9" s="4" t="s">
        <v>71</v>
      </c>
    </row>
    <row r="10" customFormat="false" ht="30.75" hidden="false" customHeight="true" outlineLevel="0" collapsed="false">
      <c r="A10" s="4" t="s">
        <v>72</v>
      </c>
      <c r="B10" s="16"/>
      <c r="C10" s="20" t="n">
        <v>-0.006</v>
      </c>
      <c r="D10" s="20" t="n">
        <v>-0.008</v>
      </c>
      <c r="E10" s="20" t="n">
        <v>-0.028</v>
      </c>
      <c r="F10" s="16" t="s">
        <v>73</v>
      </c>
    </row>
    <row r="11" customFormat="false" ht="45.75" hidden="false" customHeight="true" outlineLevel="0" collapsed="false">
      <c r="A11" s="4" t="s">
        <v>74</v>
      </c>
      <c r="B11" s="4"/>
      <c r="C11" s="22" t="s">
        <v>75</v>
      </c>
      <c r="D11" s="22" t="s">
        <v>75</v>
      </c>
      <c r="E11" s="22" t="s">
        <v>75</v>
      </c>
      <c r="F11" s="4" t="s">
        <v>76</v>
      </c>
    </row>
    <row r="12" customFormat="false" ht="30.75" hidden="false" customHeight="true" outlineLevel="0" collapsed="false">
      <c r="A12" s="4" t="s">
        <v>77</v>
      </c>
      <c r="B12" s="4"/>
      <c r="C12" s="22" t="s">
        <v>78</v>
      </c>
      <c r="D12" s="22" t="s">
        <v>78</v>
      </c>
      <c r="E12" s="22" t="s">
        <v>78</v>
      </c>
      <c r="F12" s="4" t="s">
        <v>76</v>
      </c>
    </row>
    <row r="13" customFormat="false" ht="45.75" hidden="false" customHeight="true" outlineLevel="0" collapsed="false">
      <c r="A13" s="4" t="s">
        <v>79</v>
      </c>
      <c r="B13" s="4"/>
      <c r="C13" s="21" t="n">
        <v>-0.02</v>
      </c>
      <c r="D13" s="21" t="n">
        <v>-0.02</v>
      </c>
      <c r="E13" s="21" t="n">
        <v>-0.1</v>
      </c>
      <c r="F13" s="4" t="s">
        <v>80</v>
      </c>
    </row>
    <row r="14" customFormat="false" ht="30.75" hidden="false" customHeight="true" outlineLevel="0" collapsed="false">
      <c r="A14" s="4" t="s">
        <v>81</v>
      </c>
      <c r="B14" s="4"/>
      <c r="C14" s="19" t="n">
        <v>56</v>
      </c>
      <c r="D14" s="19" t="n">
        <v>56</v>
      </c>
      <c r="E14" s="19" t="n">
        <v>56</v>
      </c>
      <c r="F14" s="4" t="s">
        <v>82</v>
      </c>
    </row>
    <row r="15" customFormat="false" ht="15.75" hidden="false" customHeight="true" outlineLevel="0" collapsed="false">
      <c r="A15" s="4" t="s">
        <v>83</v>
      </c>
      <c r="B15" s="4"/>
      <c r="C15" s="19" t="n">
        <v>51.26</v>
      </c>
      <c r="D15" s="4"/>
      <c r="E15" s="4"/>
      <c r="F15" s="4" t="s">
        <v>84</v>
      </c>
    </row>
    <row r="16" customFormat="false" ht="15.75" hidden="false" customHeight="true" outlineLevel="0" collapsed="false">
      <c r="A16" s="4" t="s">
        <v>85</v>
      </c>
      <c r="B16" s="16"/>
      <c r="C16" s="23" t="n">
        <f aca="false">C14/C15-1</f>
        <v>0.0924697619976591</v>
      </c>
      <c r="D16" s="16"/>
      <c r="E16" s="16"/>
      <c r="F16" s="16" t="s">
        <v>32</v>
      </c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</row>
    <row r="19" customFormat="false" ht="105.75" hidden="false" customHeight="true" outlineLevel="0" collapsed="false">
      <c r="A19" s="18" t="s">
        <v>86</v>
      </c>
      <c r="B19" s="18" t="s">
        <v>87</v>
      </c>
      <c r="C19" s="18" t="s">
        <v>88</v>
      </c>
      <c r="D19" s="18" t="s">
        <v>89</v>
      </c>
      <c r="E19" s="18"/>
      <c r="F19" s="18" t="s">
        <v>90</v>
      </c>
    </row>
    <row r="20" customFormat="false" ht="15.75" hidden="false" customHeight="true" outlineLevel="0" collapsed="false">
      <c r="A20" s="4" t="s">
        <v>43</v>
      </c>
      <c r="B20" s="14" t="n">
        <v>61053</v>
      </c>
      <c r="C20" s="14" t="n">
        <v>60406</v>
      </c>
      <c r="D20" s="17" t="n">
        <f aca="false">B20/C20-1</f>
        <v>0.0107108565374301</v>
      </c>
      <c r="E20" s="4"/>
      <c r="F20" s="4"/>
    </row>
    <row r="21" customFormat="false" ht="15.75" hidden="false" customHeight="true" outlineLevel="0" collapsed="false">
      <c r="A21" s="4" t="s">
        <v>91</v>
      </c>
      <c r="B21" s="14" t="n">
        <v>7728</v>
      </c>
      <c r="C21" s="14" t="n">
        <v>6945</v>
      </c>
      <c r="D21" s="17" t="n">
        <f aca="false">B21/C21-1</f>
        <v>0.112742980561555</v>
      </c>
      <c r="E21" s="4"/>
      <c r="F21" s="4"/>
    </row>
    <row r="22" customFormat="false" ht="15.75" hidden="false" customHeight="true" outlineLevel="0" collapsed="false">
      <c r="A22" s="4" t="s">
        <v>92</v>
      </c>
      <c r="B22" s="14" t="n">
        <v>3921</v>
      </c>
      <c r="C22" s="14" t="n">
        <v>2699</v>
      </c>
      <c r="D22" s="17" t="n">
        <f aca="false">B22/C22-1</f>
        <v>0.452760281585773</v>
      </c>
      <c r="E22" s="4"/>
      <c r="F22" s="4"/>
    </row>
    <row r="23" customFormat="false" ht="15.75" hidden="false" customHeight="true" outlineLevel="0" collapsed="false">
      <c r="A23" s="4" t="s">
        <v>93</v>
      </c>
      <c r="B23" s="14" t="n">
        <v>3.44</v>
      </c>
      <c r="C23" s="14" t="n">
        <v>1.71</v>
      </c>
      <c r="D23" s="17" t="n">
        <f aca="false">B23/C23-1</f>
        <v>1.01169590643275</v>
      </c>
      <c r="E23" s="4"/>
      <c r="F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5"/>
    <col collapsed="false" customWidth="true" hidden="false" outlineLevel="0" max="8" min="8" style="1" width="56"/>
  </cols>
  <sheetData>
    <row r="1" customFormat="false" ht="29.25" hidden="false" customHeight="true" outlineLevel="0" collapsed="false">
      <c r="A1" s="2" t="s">
        <v>94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18" t="s">
        <v>56</v>
      </c>
      <c r="B2" s="18" t="s">
        <v>10</v>
      </c>
      <c r="C2" s="18" t="s">
        <v>39</v>
      </c>
      <c r="D2" s="18" t="s">
        <v>40</v>
      </c>
      <c r="E2" s="18" t="s">
        <v>41</v>
      </c>
      <c r="F2" s="18" t="s">
        <v>95</v>
      </c>
      <c r="G2" s="18" t="s">
        <v>96</v>
      </c>
      <c r="H2" s="18" t="s">
        <v>57</v>
      </c>
    </row>
    <row r="3" customFormat="false" ht="60.75" hidden="false" customHeight="true" outlineLevel="0" collapsed="false">
      <c r="A3" s="4" t="s">
        <v>97</v>
      </c>
      <c r="B3" s="24" t="n">
        <v>59657</v>
      </c>
      <c r="C3" s="24" t="n">
        <v>64482.5</v>
      </c>
      <c r="D3" s="24" t="n">
        <v>66503.6</v>
      </c>
      <c r="E3" s="24" t="n">
        <v>69944.9</v>
      </c>
      <c r="F3" s="25"/>
      <c r="G3" s="25"/>
      <c r="H3" s="4" t="s">
        <v>98</v>
      </c>
    </row>
    <row r="4" customFormat="false" ht="15.75" hidden="false" customHeight="true" outlineLevel="0" collapsed="false">
      <c r="A4" s="4" t="s">
        <v>99</v>
      </c>
      <c r="B4" s="24" t="n">
        <v>6554</v>
      </c>
      <c r="C4" s="24" t="n">
        <v>7608</v>
      </c>
      <c r="D4" s="24" t="n">
        <v>7721</v>
      </c>
      <c r="E4" s="24" t="n">
        <v>8561</v>
      </c>
      <c r="F4" s="25"/>
      <c r="G4" s="25"/>
      <c r="H4" s="4" t="s">
        <v>100</v>
      </c>
    </row>
    <row r="5" customFormat="false" ht="45.75" hidden="false" customHeight="true" outlineLevel="0" collapsed="false">
      <c r="A5" s="4" t="s">
        <v>101</v>
      </c>
      <c r="B5" s="16"/>
      <c r="C5" s="16" t="n">
        <f aca="false">C4/C3</f>
        <v>0.117985499941845</v>
      </c>
      <c r="D5" s="16" t="n">
        <f aca="false">D4/D3</f>
        <v>0.116098978100434</v>
      </c>
      <c r="E5" s="16" t="n">
        <f aca="false">E4/E3</f>
        <v>0.122396343407454</v>
      </c>
      <c r="F5" s="16"/>
      <c r="G5" s="16"/>
      <c r="H5" s="4" t="s">
        <v>102</v>
      </c>
    </row>
    <row r="6" customFormat="false" ht="60.75" hidden="false" customHeight="true" outlineLevel="0" collapsed="false">
      <c r="A6" s="4" t="s">
        <v>103</v>
      </c>
      <c r="B6" s="24" t="n">
        <v>59657</v>
      </c>
      <c r="C6" s="24" t="n">
        <v>63830</v>
      </c>
      <c r="D6" s="24" t="n">
        <v>65757</v>
      </c>
      <c r="E6" s="25"/>
      <c r="F6" s="24" t="n">
        <v>62837</v>
      </c>
      <c r="G6" s="24" t="n">
        <v>63717</v>
      </c>
      <c r="H6" s="4" t="s">
        <v>104</v>
      </c>
    </row>
    <row r="7" customFormat="false" ht="45.75" hidden="false" customHeight="true" outlineLevel="0" collapsed="false">
      <c r="A7" s="4" t="s">
        <v>105</v>
      </c>
      <c r="B7" s="24" t="n">
        <v>6554</v>
      </c>
      <c r="C7" s="24" t="n">
        <v>7567</v>
      </c>
      <c r="D7" s="24" t="n">
        <v>7656</v>
      </c>
      <c r="E7" s="25"/>
      <c r="F7" s="24" t="n">
        <v>7759</v>
      </c>
      <c r="G7" s="24" t="n">
        <v>7725</v>
      </c>
      <c r="H7" s="4" t="s">
        <v>106</v>
      </c>
    </row>
    <row r="8" customFormat="false" ht="30.75" hidden="false" customHeight="true" outlineLevel="0" collapsed="false">
      <c r="A8" s="4" t="s">
        <v>107</v>
      </c>
      <c r="B8" s="16"/>
      <c r="C8" s="16" t="n">
        <f aca="false">C7/C6</f>
        <v>0.118549271502428</v>
      </c>
      <c r="D8" s="16" t="n">
        <f aca="false">D7/D6</f>
        <v>0.116428669191113</v>
      </c>
      <c r="E8" s="16"/>
      <c r="F8" s="16" t="n">
        <f aca="false">F7/F6</f>
        <v>0.123478205515858</v>
      </c>
      <c r="G8" s="16" t="n">
        <f aca="false">G7/G6</f>
        <v>0.121239229718913</v>
      </c>
      <c r="H8" s="4" t="s">
        <v>102</v>
      </c>
    </row>
    <row r="9" customFormat="false" ht="15.75" hidden="false" customHeight="true" outlineLevel="0" collapsed="false">
      <c r="A9" s="4" t="s">
        <v>108</v>
      </c>
      <c r="B9" s="25"/>
      <c r="C9" s="24" t="n">
        <v>6900</v>
      </c>
      <c r="D9" s="25"/>
      <c r="E9" s="25"/>
      <c r="F9" s="25"/>
      <c r="G9" s="25"/>
      <c r="H9" s="4" t="s">
        <v>109</v>
      </c>
    </row>
    <row r="10" customFormat="false" ht="30.75" hidden="false" customHeight="true" outlineLevel="0" collapsed="false">
      <c r="A10" s="4" t="s">
        <v>110</v>
      </c>
      <c r="B10" s="25"/>
      <c r="C10" s="24" t="n">
        <v>7700</v>
      </c>
      <c r="D10" s="25"/>
      <c r="E10" s="25"/>
      <c r="F10" s="25"/>
      <c r="G10" s="25"/>
      <c r="H10" s="4" t="s">
        <v>109</v>
      </c>
    </row>
    <row r="11" customFormat="false" ht="45.75" hidden="false" customHeight="true" outlineLevel="0" collapsed="false">
      <c r="A11" s="4" t="s">
        <v>111</v>
      </c>
      <c r="B11" s="25"/>
      <c r="C11" s="26" t="n">
        <f aca="false">AVERAGE(C9:C10)</f>
        <v>7300</v>
      </c>
      <c r="D11" s="25"/>
      <c r="E11" s="25"/>
      <c r="F11" s="25"/>
      <c r="G11" s="25"/>
      <c r="H11" s="4" t="s">
        <v>112</v>
      </c>
    </row>
    <row r="12" customFormat="false" ht="30.75" hidden="false" customHeight="true" outlineLevel="0" collapsed="false">
      <c r="A12" s="4" t="s">
        <v>113</v>
      </c>
      <c r="B12" s="16"/>
      <c r="C12" s="16" t="n">
        <f aca="false">C7/C11-1</f>
        <v>0.0365753424657533</v>
      </c>
      <c r="D12" s="16"/>
      <c r="E12" s="16"/>
      <c r="F12" s="16"/>
      <c r="G12" s="16"/>
      <c r="H12" s="4" t="s">
        <v>102</v>
      </c>
    </row>
    <row r="13" customFormat="false" ht="45.75" hidden="false" customHeight="true" outlineLevel="0" collapsed="false">
      <c r="A13" s="4" t="s">
        <v>114</v>
      </c>
      <c r="B13" s="16"/>
      <c r="C13" s="16" t="n">
        <f aca="false">C7/C10-1</f>
        <v>-0.0172727272727272</v>
      </c>
      <c r="D13" s="16"/>
      <c r="E13" s="16"/>
      <c r="F13" s="16"/>
      <c r="G13" s="16"/>
      <c r="H13" s="4" t="s">
        <v>102</v>
      </c>
    </row>
    <row r="14" customFormat="false" ht="30.75" hidden="false" customHeight="true" outlineLevel="0" collapsed="false">
      <c r="A14" s="4" t="s">
        <v>115</v>
      </c>
      <c r="B14" s="25"/>
      <c r="C14" s="26" t="n">
        <f aca="false">'Consensus Bridge'!C5</f>
        <v>7728</v>
      </c>
      <c r="D14" s="26" t="n">
        <f aca="false">'Consensus Bridge'!D5</f>
        <v>7798.21845</v>
      </c>
      <c r="E14" s="26" t="n">
        <f aca="false">'Consensus Bridge'!E5</f>
        <v>8139.99375</v>
      </c>
      <c r="F14" s="25"/>
      <c r="G14" s="25"/>
      <c r="H14" s="4" t="s">
        <v>116</v>
      </c>
    </row>
    <row r="15" customFormat="false" ht="15.75" hidden="false" customHeight="true" outlineLevel="0" collapsed="false">
      <c r="A15" s="4" t="s">
        <v>117</v>
      </c>
      <c r="B15" s="16"/>
      <c r="C15" s="16" t="n">
        <f aca="false">C7/C14-1</f>
        <v>-0.0208333333333334</v>
      </c>
      <c r="D15" s="16" t="n">
        <f aca="false">D7/D14-1</f>
        <v>-0.0182373000848675</v>
      </c>
      <c r="E15" s="16"/>
      <c r="F15" s="16"/>
      <c r="G15" s="16"/>
      <c r="H15" s="4" t="s">
        <v>118</v>
      </c>
    </row>
    <row r="16" customFormat="false" ht="15.75" hidden="false" customHeight="true" outlineLevel="0" collapsed="false">
      <c r="A16" s="4" t="s">
        <v>119</v>
      </c>
      <c r="B16" s="16"/>
      <c r="C16" s="16" t="n">
        <f aca="false">C4/C14-1</f>
        <v>-0.015527950310559</v>
      </c>
      <c r="D16" s="16" t="n">
        <f aca="false">D4/D14-1</f>
        <v>-0.00990206295131424</v>
      </c>
      <c r="E16" s="16" t="n">
        <f aca="false">E4/E14-1</f>
        <v>0.0517207092450163</v>
      </c>
      <c r="F16" s="16"/>
      <c r="G16" s="16"/>
      <c r="H16" s="4" t="s">
        <v>120</v>
      </c>
    </row>
    <row r="17" customFormat="false" ht="15" hidden="false" customHeight="true" outlineLevel="0" collapsed="false">
      <c r="A17" s="4" t="s">
        <v>121</v>
      </c>
      <c r="B17" s="16"/>
      <c r="C17" s="16" t="n">
        <f aca="false">C6/'Consensus Bridge'!C3-1</f>
        <v>0.0454850703487135</v>
      </c>
      <c r="D17" s="16" t="n">
        <f aca="false">D6/'Consensus Bridge'!D3-1</f>
        <v>0.0371742022692374</v>
      </c>
      <c r="E17" s="16"/>
      <c r="F17" s="16"/>
      <c r="G17" s="16"/>
      <c r="H17" s="4" t="s">
        <v>122</v>
      </c>
    </row>
    <row r="18" customFormat="false" ht="15" hidden="false" customHeight="true" outlineLevel="0" collapsed="false">
      <c r="A18" s="4" t="s">
        <v>123</v>
      </c>
      <c r="B18" s="4"/>
      <c r="C18" s="19" t="n">
        <v>58</v>
      </c>
      <c r="D18" s="19" t="n">
        <v>58</v>
      </c>
      <c r="E18" s="19" t="n">
        <v>58</v>
      </c>
      <c r="F18" s="4"/>
      <c r="G18" s="4"/>
      <c r="H18" s="4" t="s">
        <v>124</v>
      </c>
    </row>
    <row r="19" customFormat="false" ht="105.75" hidden="false" customHeight="true" outlineLevel="0" collapsed="false">
      <c r="A19" s="4" t="s">
        <v>125</v>
      </c>
      <c r="B19" s="4"/>
      <c r="C19" s="19" t="n">
        <v>50.17</v>
      </c>
      <c r="D19" s="4"/>
      <c r="E19" s="4"/>
      <c r="F19" s="4"/>
      <c r="G19" s="4"/>
      <c r="H19" s="4" t="s">
        <v>126</v>
      </c>
    </row>
    <row r="20" customFormat="false" ht="15.75" hidden="false" customHeight="true" outlineLevel="0" collapsed="false">
      <c r="A20" s="4" t="s">
        <v>127</v>
      </c>
      <c r="B20" s="16"/>
      <c r="C20" s="16" t="n">
        <f aca="false">C18/C19-1</f>
        <v>0.15606936416185</v>
      </c>
      <c r="D20" s="16"/>
      <c r="E20" s="16"/>
      <c r="F20" s="16"/>
      <c r="G20" s="16"/>
      <c r="H20" s="4" t="s">
        <v>128</v>
      </c>
    </row>
    <row r="21" customFormat="false" ht="15.75" hidden="false" customHeight="true" outlineLevel="0" collapsed="false">
      <c r="A21" s="4" t="s">
        <v>129</v>
      </c>
      <c r="B21" s="4"/>
      <c r="C21" s="4"/>
      <c r="D21" s="19" t="n">
        <v>7.7</v>
      </c>
      <c r="E21" s="4"/>
      <c r="F21" s="4"/>
      <c r="G21" s="4"/>
      <c r="H21" s="4" t="s">
        <v>130</v>
      </c>
    </row>
    <row r="22" customFormat="false" ht="15.75" hidden="false" customHeight="true" outlineLevel="0" collapsed="false">
      <c r="A22" s="4" t="s">
        <v>131</v>
      </c>
      <c r="B22" s="25"/>
      <c r="C22" s="25"/>
      <c r="D22" s="24" t="n">
        <v>9150</v>
      </c>
      <c r="E22" s="25"/>
      <c r="F22" s="25"/>
      <c r="G22" s="25"/>
      <c r="H22" s="4" t="s">
        <v>132</v>
      </c>
    </row>
    <row r="23" customFormat="false" ht="15.75" hidden="false" customHeight="true" outlineLevel="0" collapsed="false">
      <c r="A23" s="4" t="s">
        <v>133</v>
      </c>
      <c r="B23" s="16"/>
      <c r="C23" s="16"/>
      <c r="D23" s="16" t="n">
        <f aca="false">D4/D22-1</f>
        <v>-0.156174863387978</v>
      </c>
      <c r="E23" s="16"/>
      <c r="F23" s="16"/>
      <c r="G23" s="16"/>
      <c r="H23" s="4" t="s">
        <v>134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29.25" hidden="false" customHeight="true" outlineLevel="0" collapsed="false">
      <c r="A26" s="2" t="s">
        <v>135</v>
      </c>
      <c r="B26" s="2"/>
      <c r="C26" s="2"/>
      <c r="D26" s="2"/>
      <c r="E26" s="2"/>
      <c r="F26" s="2"/>
      <c r="G26" s="2"/>
      <c r="H26" s="2"/>
    </row>
    <row r="27" customFormat="false" ht="30.75" hidden="false" customHeight="true" outlineLevel="0" collapsed="false">
      <c r="A27" s="18" t="s">
        <v>136</v>
      </c>
      <c r="B27" s="18" t="s">
        <v>137</v>
      </c>
      <c r="C27" s="18" t="s">
        <v>138</v>
      </c>
      <c r="D27" s="18" t="s">
        <v>139</v>
      </c>
      <c r="E27" s="18" t="s">
        <v>140</v>
      </c>
      <c r="F27" s="18" t="s">
        <v>141</v>
      </c>
      <c r="G27" s="18" t="s">
        <v>139</v>
      </c>
      <c r="H27" s="18" t="s">
        <v>142</v>
      </c>
    </row>
    <row r="28" customFormat="false" ht="15.75" hidden="false" customHeight="true" outlineLevel="0" collapsed="false">
      <c r="A28" s="4" t="s">
        <v>42</v>
      </c>
      <c r="B28" s="24" t="n">
        <v>1123</v>
      </c>
      <c r="C28" s="24" t="n">
        <v>1380</v>
      </c>
      <c r="D28" s="16" t="n">
        <f aca="false">B28/C28-1</f>
        <v>-0.186231884057971</v>
      </c>
      <c r="E28" s="24" t="n">
        <v>1549</v>
      </c>
      <c r="F28" s="24" t="n">
        <v>1529</v>
      </c>
      <c r="G28" s="16" t="n">
        <f aca="false">E28/F28-1</f>
        <v>0.0130804447351209</v>
      </c>
      <c r="H28" s="16" t="n">
        <f aca="false">E28/B28-1</f>
        <v>0.379341050756901</v>
      </c>
    </row>
    <row r="29" customFormat="false" ht="15.75" hidden="false" customHeight="true" outlineLevel="0" collapsed="false">
      <c r="A29" s="4" t="s">
        <v>48</v>
      </c>
      <c r="B29" s="24" t="n">
        <v>2181</v>
      </c>
      <c r="C29" s="24" t="n">
        <v>2120</v>
      </c>
      <c r="D29" s="16" t="n">
        <f aca="false">B29/C29-1</f>
        <v>0.0287735849056603</v>
      </c>
      <c r="E29" s="24" t="n">
        <v>1914</v>
      </c>
      <c r="F29" s="24" t="n">
        <v>1857</v>
      </c>
      <c r="G29" s="16" t="n">
        <f aca="false">E29/F29-1</f>
        <v>0.0306946688206786</v>
      </c>
      <c r="H29" s="16" t="n">
        <f aca="false">E29/B29-1</f>
        <v>-0.12242090784044</v>
      </c>
    </row>
    <row r="30" customFormat="false" ht="15.75" hidden="false" customHeight="true" outlineLevel="0" collapsed="false">
      <c r="A30" s="4" t="s">
        <v>49</v>
      </c>
      <c r="B30" s="24" t="n">
        <v>1400</v>
      </c>
      <c r="C30" s="24" t="n">
        <v>1384</v>
      </c>
      <c r="D30" s="16" t="n">
        <f aca="false">B30/C30-1</f>
        <v>0.0115606936416186</v>
      </c>
      <c r="E30" s="24" t="n">
        <v>1385</v>
      </c>
      <c r="F30" s="24" t="n">
        <v>1407</v>
      </c>
      <c r="G30" s="16" t="n">
        <f aca="false">E30/F30-1</f>
        <v>-0.015636105188344</v>
      </c>
      <c r="H30" s="16" t="n">
        <f aca="false">E30/B30-1</f>
        <v>-0.0107142857142857</v>
      </c>
    </row>
    <row r="31" customFormat="false" ht="15.75" hidden="false" customHeight="true" outlineLevel="0" collapsed="false">
      <c r="A31" s="4" t="s">
        <v>51</v>
      </c>
      <c r="B31" s="24" t="n">
        <v>653</v>
      </c>
      <c r="C31" s="24" t="n">
        <v>674</v>
      </c>
      <c r="D31" s="16" t="n">
        <f aca="false">B31/C31-1</f>
        <v>-0.0311572700296736</v>
      </c>
      <c r="E31" s="24" t="n">
        <v>587</v>
      </c>
      <c r="F31" s="24" t="n">
        <v>673</v>
      </c>
      <c r="G31" s="16" t="n">
        <f aca="false">E31/F31-1</f>
        <v>-0.12778603268945</v>
      </c>
      <c r="H31" s="16" t="n">
        <f aca="false">E31/B31-1</f>
        <v>-0.101071975497703</v>
      </c>
    </row>
    <row r="32" customFormat="false" ht="15.75" hidden="false" customHeight="true" outlineLevel="0" collapsed="false">
      <c r="A32" s="4" t="s">
        <v>50</v>
      </c>
      <c r="B32" s="24" t="n">
        <v>662</v>
      </c>
      <c r="C32" s="24" t="n">
        <v>735</v>
      </c>
      <c r="D32" s="16" t="n">
        <f aca="false">B32/C32-1</f>
        <v>-0.0993197278911565</v>
      </c>
      <c r="E32" s="24" t="n">
        <v>712</v>
      </c>
      <c r="F32" s="24" t="n">
        <v>795</v>
      </c>
      <c r="G32" s="16" t="n">
        <f aca="false">E32/F32-1</f>
        <v>-0.10440251572327</v>
      </c>
      <c r="H32" s="16" t="n">
        <f aca="false">E32/B32-1</f>
        <v>0.0755287009063443</v>
      </c>
    </row>
    <row r="33" customFormat="false" ht="15.75" hidden="false" customHeight="true" outlineLevel="0" collapsed="false">
      <c r="A33" s="4" t="s">
        <v>52</v>
      </c>
      <c r="B33" s="24" t="n">
        <v>2007</v>
      </c>
      <c r="C33" s="24" t="n">
        <v>2033</v>
      </c>
      <c r="D33" s="16" t="n">
        <f aca="false">B33/C33-1</f>
        <v>-0.0127889818002951</v>
      </c>
      <c r="E33" s="24" t="n">
        <v>2059</v>
      </c>
      <c r="F33" s="24" t="n">
        <v>2084</v>
      </c>
      <c r="G33" s="16" t="n">
        <f aca="false">E33/F33-1</f>
        <v>-0.011996161228407</v>
      </c>
      <c r="H33" s="16" t="n">
        <f aca="false">E33/B33-1</f>
        <v>0.025909317389138</v>
      </c>
    </row>
    <row r="34" customFormat="false" ht="15.75" hidden="false" customHeight="true" outlineLevel="0" collapsed="false">
      <c r="A34" s="4" t="s">
        <v>53</v>
      </c>
      <c r="B34" s="24" t="n">
        <v>-459</v>
      </c>
      <c r="C34" s="24" t="n">
        <v>-536</v>
      </c>
      <c r="D34" s="16" t="n">
        <f aca="false">B34/C34-1</f>
        <v>-0.14365671641791</v>
      </c>
      <c r="E34" s="24" t="n">
        <v>-550</v>
      </c>
      <c r="F34" s="24" t="n">
        <v>-586</v>
      </c>
      <c r="G34" s="16" t="n">
        <f aca="false">E34/F34-1</f>
        <v>-0.0614334470989761</v>
      </c>
      <c r="H34" s="16" t="n">
        <f aca="false">E34/B34-1</f>
        <v>0.198257080610022</v>
      </c>
    </row>
    <row r="35" customFormat="false" ht="15.75" hidden="false" customHeight="true" outlineLevel="0" collapsed="false">
      <c r="A35" s="4" t="s">
        <v>143</v>
      </c>
      <c r="B35" s="26" t="n">
        <f aca="false">SUM(B28:B34)</f>
        <v>7567</v>
      </c>
      <c r="C35" s="26" t="n">
        <f aca="false">SUM(C28:C34)</f>
        <v>7790</v>
      </c>
      <c r="D35" s="16" t="n">
        <f aca="false">B35/C35-1</f>
        <v>-0.0286264441591785</v>
      </c>
      <c r="E35" s="26" t="n">
        <f aca="false">SUM(E28:E34)</f>
        <v>7656</v>
      </c>
      <c r="F35" s="26" t="n">
        <f aca="false">SUM(F28:F34)</f>
        <v>7759</v>
      </c>
      <c r="G35" s="16" t="n">
        <f aca="false">E35/F35-1</f>
        <v>-0.0132749065601238</v>
      </c>
      <c r="H35" s="16" t="n">
        <f aca="false">E35/B35-1</f>
        <v>0.0117615964054447</v>
      </c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29.25" hidden="false" customHeight="true" outlineLevel="0" collapsed="false">
      <c r="A38" s="2" t="s">
        <v>144</v>
      </c>
      <c r="B38" s="2"/>
      <c r="C38" s="2"/>
      <c r="D38" s="2"/>
      <c r="E38" s="2"/>
      <c r="F38" s="2"/>
      <c r="G38" s="2"/>
      <c r="H38" s="2"/>
    </row>
    <row r="39" customFormat="false" ht="30.75" hidden="false" customHeight="true" outlineLevel="0" collapsed="false">
      <c r="A39" s="18" t="s">
        <v>145</v>
      </c>
      <c r="B39" s="18" t="s">
        <v>146</v>
      </c>
      <c r="C39" s="18" t="s">
        <v>147</v>
      </c>
      <c r="D39" s="18"/>
      <c r="E39" s="18"/>
      <c r="F39" s="18"/>
      <c r="G39" s="18"/>
      <c r="H39" s="18" t="s">
        <v>148</v>
      </c>
    </row>
    <row r="40" customFormat="false" ht="15.75" hidden="false" customHeight="true" outlineLevel="0" collapsed="false">
      <c r="A40" s="4" t="s">
        <v>149</v>
      </c>
      <c r="B40" s="24" t="n">
        <v>6554</v>
      </c>
      <c r="C40" s="16" t="n">
        <f aca="false">B40/$B$40</f>
        <v>1</v>
      </c>
      <c r="D40" s="4"/>
      <c r="E40" s="4"/>
      <c r="F40" s="4"/>
      <c r="G40" s="4"/>
      <c r="H40" s="4" t="s">
        <v>150</v>
      </c>
    </row>
    <row r="41" customFormat="false" ht="15.75" hidden="false" customHeight="true" outlineLevel="0" collapsed="false">
      <c r="A41" s="4" t="s">
        <v>151</v>
      </c>
      <c r="B41" s="24" t="n">
        <v>200</v>
      </c>
      <c r="C41" s="16" t="n">
        <f aca="false">B41/$B$40</f>
        <v>0.0305157155935307</v>
      </c>
      <c r="D41" s="4"/>
      <c r="E41" s="4"/>
      <c r="F41" s="4"/>
      <c r="G41" s="4"/>
      <c r="H41" s="4" t="s">
        <v>152</v>
      </c>
    </row>
    <row r="42" customFormat="false" ht="15.75" hidden="false" customHeight="true" outlineLevel="0" collapsed="false">
      <c r="A42" s="4" t="s">
        <v>153</v>
      </c>
      <c r="B42" s="24" t="n">
        <v>571</v>
      </c>
      <c r="C42" s="16" t="n">
        <f aca="false">B42/$B$40</f>
        <v>0.0871223680195301</v>
      </c>
      <c r="D42" s="4"/>
      <c r="E42" s="4"/>
      <c r="F42" s="4"/>
      <c r="G42" s="4"/>
      <c r="H42" s="4" t="s">
        <v>152</v>
      </c>
    </row>
    <row r="43" customFormat="false" ht="15.75" hidden="false" customHeight="true" outlineLevel="0" collapsed="false">
      <c r="A43" s="4" t="s">
        <v>154</v>
      </c>
      <c r="B43" s="24" t="n">
        <v>477</v>
      </c>
      <c r="C43" s="16" t="n">
        <f aca="false">B43/$B$40</f>
        <v>0.0727799816905707</v>
      </c>
      <c r="D43" s="4"/>
      <c r="E43" s="4"/>
      <c r="F43" s="4"/>
      <c r="G43" s="4"/>
      <c r="H43" s="4" t="s">
        <v>152</v>
      </c>
    </row>
    <row r="44" customFormat="false" ht="15.75" hidden="false" customHeight="true" outlineLevel="0" collapsed="false">
      <c r="A44" s="4" t="s">
        <v>155</v>
      </c>
      <c r="B44" s="24" t="n">
        <v>169</v>
      </c>
      <c r="C44" s="16" t="n">
        <f aca="false">B44/$B$40</f>
        <v>0.0257857796765334</v>
      </c>
      <c r="D44" s="4"/>
      <c r="E44" s="4"/>
      <c r="F44" s="4"/>
      <c r="G44" s="4"/>
      <c r="H44" s="4" t="s">
        <v>152</v>
      </c>
    </row>
    <row r="45" customFormat="false" ht="15.75" hidden="false" customHeight="true" outlineLevel="0" collapsed="false">
      <c r="A45" s="4" t="s">
        <v>156</v>
      </c>
      <c r="B45" s="24" t="n">
        <v>-137</v>
      </c>
      <c r="C45" s="16" t="n">
        <f aca="false">B45/$B$40</f>
        <v>-0.0209032651815685</v>
      </c>
      <c r="D45" s="4"/>
      <c r="E45" s="4"/>
      <c r="F45" s="4"/>
      <c r="G45" s="4"/>
      <c r="H45" s="4" t="s">
        <v>152</v>
      </c>
    </row>
    <row r="46" customFormat="false" ht="15.75" hidden="false" customHeight="true" outlineLevel="0" collapsed="false">
      <c r="A46" s="4" t="s">
        <v>157</v>
      </c>
      <c r="B46" s="24" t="n">
        <v>0</v>
      </c>
      <c r="C46" s="16" t="n">
        <f aca="false">B46/$B$40</f>
        <v>0</v>
      </c>
      <c r="D46" s="4"/>
      <c r="E46" s="4"/>
      <c r="F46" s="4"/>
      <c r="G46" s="4"/>
      <c r="H46" s="4" t="s">
        <v>152</v>
      </c>
    </row>
    <row r="47" customFormat="false" ht="30.75" hidden="false" customHeight="true" outlineLevel="0" collapsed="false">
      <c r="A47" s="4" t="s">
        <v>158</v>
      </c>
      <c r="B47" s="24" t="n">
        <v>-267</v>
      </c>
      <c r="C47" s="16" t="n">
        <f aca="false">B47/$B$40</f>
        <v>-0.0407384803173634</v>
      </c>
      <c r="D47" s="4"/>
      <c r="E47" s="4"/>
      <c r="F47" s="4"/>
      <c r="G47" s="4"/>
      <c r="H47" s="4" t="s">
        <v>152</v>
      </c>
    </row>
    <row r="48" customFormat="false" ht="15.75" hidden="false" customHeight="true" outlineLevel="0" collapsed="false">
      <c r="A48" s="4" t="s">
        <v>159</v>
      </c>
      <c r="B48" s="26" t="n">
        <f aca="false">SUM(B40:B47)</f>
        <v>7567</v>
      </c>
      <c r="C48" s="4"/>
      <c r="D48" s="4"/>
      <c r="E48" s="4"/>
      <c r="F48" s="4"/>
      <c r="G48" s="4"/>
      <c r="H48" s="4" t="s">
        <v>160</v>
      </c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29.25" hidden="false" customHeight="true" outlineLevel="0" collapsed="false">
      <c r="A51" s="2" t="s">
        <v>161</v>
      </c>
      <c r="B51" s="2"/>
      <c r="C51" s="2"/>
      <c r="D51" s="2"/>
      <c r="E51" s="2"/>
      <c r="F51" s="2"/>
      <c r="G51" s="2"/>
      <c r="H51" s="2"/>
    </row>
    <row r="52" customFormat="false" ht="30.75" hidden="false" customHeight="true" outlineLevel="0" collapsed="false">
      <c r="A52" s="18" t="s">
        <v>145</v>
      </c>
      <c r="B52" s="18" t="s">
        <v>146</v>
      </c>
      <c r="C52" s="18" t="s">
        <v>162</v>
      </c>
      <c r="D52" s="18"/>
      <c r="E52" s="18"/>
      <c r="F52" s="18"/>
      <c r="G52" s="18"/>
      <c r="H52" s="18" t="s">
        <v>148</v>
      </c>
    </row>
    <row r="53" customFormat="false" ht="15.75" hidden="false" customHeight="true" outlineLevel="0" collapsed="false">
      <c r="A53" s="4" t="s">
        <v>163</v>
      </c>
      <c r="B53" s="24" t="n">
        <v>7567</v>
      </c>
      <c r="C53" s="16" t="n">
        <f aca="false">B53/$B$53</f>
        <v>1</v>
      </c>
      <c r="D53" s="4"/>
      <c r="E53" s="4"/>
      <c r="F53" s="4"/>
      <c r="G53" s="4"/>
      <c r="H53" s="4" t="s">
        <v>164</v>
      </c>
    </row>
    <row r="54" customFormat="false" ht="15.75" hidden="false" customHeight="true" outlineLevel="0" collapsed="false">
      <c r="A54" s="4" t="s">
        <v>151</v>
      </c>
      <c r="B54" s="24" t="n">
        <v>350</v>
      </c>
      <c r="C54" s="16" t="n">
        <f aca="false">B54/$B$53</f>
        <v>0.0462534690101758</v>
      </c>
      <c r="D54" s="4"/>
      <c r="E54" s="4"/>
      <c r="F54" s="4"/>
      <c r="G54" s="4"/>
      <c r="H54" s="4" t="s">
        <v>152</v>
      </c>
    </row>
    <row r="55" customFormat="false" ht="15.75" hidden="false" customHeight="true" outlineLevel="0" collapsed="false">
      <c r="A55" s="4" t="s">
        <v>165</v>
      </c>
      <c r="B55" s="24" t="n">
        <v>415</v>
      </c>
      <c r="C55" s="16" t="n">
        <f aca="false">B55/$B$53</f>
        <v>0.0548433989692084</v>
      </c>
      <c r="D55" s="4"/>
      <c r="E55" s="4"/>
      <c r="F55" s="4"/>
      <c r="G55" s="4"/>
      <c r="H55" s="4" t="s">
        <v>166</v>
      </c>
    </row>
    <row r="56" customFormat="false" ht="15.75" hidden="false" customHeight="true" outlineLevel="0" collapsed="false">
      <c r="A56" s="4" t="s">
        <v>167</v>
      </c>
      <c r="B56" s="24" t="n">
        <v>-169</v>
      </c>
      <c r="C56" s="16" t="n">
        <f aca="false">B56/$B$53</f>
        <v>-0.0223338178934849</v>
      </c>
      <c r="D56" s="4"/>
      <c r="E56" s="4"/>
      <c r="F56" s="4"/>
      <c r="G56" s="4"/>
      <c r="H56" s="4" t="s">
        <v>152</v>
      </c>
    </row>
    <row r="57" customFormat="false" ht="15.75" hidden="false" customHeight="true" outlineLevel="0" collapsed="false">
      <c r="A57" s="4" t="s">
        <v>154</v>
      </c>
      <c r="B57" s="24" t="n">
        <v>-397</v>
      </c>
      <c r="C57" s="16" t="n">
        <f aca="false">B57/$B$53</f>
        <v>-0.0524646491343994</v>
      </c>
      <c r="D57" s="4"/>
      <c r="E57" s="4"/>
      <c r="F57" s="4"/>
      <c r="G57" s="4"/>
      <c r="H57" s="4" t="s">
        <v>152</v>
      </c>
    </row>
    <row r="58" customFormat="false" ht="15.75" hidden="false" customHeight="true" outlineLevel="0" collapsed="false">
      <c r="A58" s="4" t="s">
        <v>157</v>
      </c>
      <c r="B58" s="24" t="n">
        <v>0</v>
      </c>
      <c r="C58" s="16" t="n">
        <f aca="false">B58/$B$53</f>
        <v>0</v>
      </c>
      <c r="D58" s="4"/>
      <c r="E58" s="4"/>
      <c r="F58" s="4"/>
      <c r="G58" s="4"/>
      <c r="H58" s="4" t="s">
        <v>152</v>
      </c>
    </row>
    <row r="59" customFormat="false" ht="15.75" hidden="false" customHeight="true" outlineLevel="0" collapsed="false">
      <c r="A59" s="4" t="s">
        <v>156</v>
      </c>
      <c r="B59" s="24" t="n">
        <v>11</v>
      </c>
      <c r="C59" s="16" t="n">
        <f aca="false">B59/$B$53</f>
        <v>0.00145368045460552</v>
      </c>
      <c r="D59" s="4"/>
      <c r="E59" s="4"/>
      <c r="F59" s="4"/>
      <c r="G59" s="4"/>
      <c r="H59" s="4" t="s">
        <v>152</v>
      </c>
    </row>
    <row r="60" customFormat="false" ht="15.75" hidden="false" customHeight="true" outlineLevel="0" collapsed="false">
      <c r="A60" s="4" t="s">
        <v>168</v>
      </c>
      <c r="B60" s="24" t="n">
        <v>-80</v>
      </c>
      <c r="C60" s="16" t="n">
        <f aca="false">B60/$B$53</f>
        <v>-0.0105722214880402</v>
      </c>
      <c r="D60" s="4"/>
      <c r="E60" s="4"/>
      <c r="F60" s="4"/>
      <c r="G60" s="4"/>
      <c r="H60" s="4" t="s">
        <v>152</v>
      </c>
    </row>
    <row r="61" customFormat="false" ht="30.75" hidden="false" customHeight="true" outlineLevel="0" collapsed="false">
      <c r="A61" s="4" t="s">
        <v>169</v>
      </c>
      <c r="B61" s="26" t="n">
        <f aca="false">SUM(B53:B60)</f>
        <v>7697</v>
      </c>
      <c r="C61" s="4"/>
      <c r="D61" s="4"/>
      <c r="E61" s="4"/>
      <c r="F61" s="4"/>
      <c r="G61" s="4"/>
      <c r="H61" s="4" t="s">
        <v>170</v>
      </c>
    </row>
    <row r="62" customFormat="false" ht="15.75" hidden="false" customHeight="true" outlineLevel="0" collapsed="false">
      <c r="A62" s="4" t="s">
        <v>171</v>
      </c>
      <c r="B62" s="24" t="n">
        <v>7656</v>
      </c>
      <c r="C62" s="4"/>
      <c r="D62" s="4"/>
      <c r="E62" s="4"/>
      <c r="F62" s="4"/>
      <c r="G62" s="4"/>
      <c r="H62" s="4" t="s">
        <v>172</v>
      </c>
    </row>
    <row r="63" customFormat="false" ht="30.75" hidden="false" customHeight="true" outlineLevel="0" collapsed="false">
      <c r="A63" s="4" t="s">
        <v>173</v>
      </c>
      <c r="B63" s="20" t="n">
        <v>0.03</v>
      </c>
      <c r="C63" s="4"/>
      <c r="D63" s="4"/>
      <c r="E63" s="4"/>
      <c r="F63" s="4"/>
      <c r="G63" s="4"/>
      <c r="H63" s="4" t="s">
        <v>174</v>
      </c>
    </row>
    <row r="64" customFormat="false" ht="15.75" hidden="false" customHeight="true" outlineLevel="0" collapsed="false">
      <c r="A64" s="4" t="s">
        <v>175</v>
      </c>
      <c r="B64" s="26" t="n">
        <f aca="false">B63*G7</f>
        <v>231.75</v>
      </c>
      <c r="C64" s="4"/>
      <c r="D64" s="4"/>
      <c r="E64" s="4"/>
      <c r="F64" s="4"/>
      <c r="G64" s="4"/>
      <c r="H64" s="4" t="s">
        <v>176</v>
      </c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5" hidden="false" customHeight="true" outlineLevel="0" collapsed="false">
      <c r="A67" s="2" t="s">
        <v>177</v>
      </c>
      <c r="B67" s="2"/>
      <c r="C67" s="2"/>
      <c r="D67" s="2"/>
      <c r="E67" s="2"/>
      <c r="F67" s="2"/>
      <c r="G67" s="2"/>
      <c r="H67" s="2"/>
    </row>
    <row r="68" customFormat="false" ht="30.75" hidden="false" customHeight="true" outlineLevel="0" collapsed="false">
      <c r="A68" s="18" t="s">
        <v>136</v>
      </c>
      <c r="B68" s="18" t="s">
        <v>137</v>
      </c>
      <c r="C68" s="18" t="s">
        <v>138</v>
      </c>
      <c r="D68" s="18" t="s">
        <v>139</v>
      </c>
      <c r="E68" s="18" t="s">
        <v>140</v>
      </c>
      <c r="F68" s="18" t="s">
        <v>141</v>
      </c>
      <c r="G68" s="18" t="s">
        <v>139</v>
      </c>
      <c r="H68" s="18" t="s">
        <v>142</v>
      </c>
    </row>
    <row r="69" customFormat="false" ht="15.75" hidden="false" customHeight="true" outlineLevel="0" collapsed="false">
      <c r="A69" s="4" t="s">
        <v>42</v>
      </c>
      <c r="B69" s="24" t="n">
        <v>12433</v>
      </c>
      <c r="C69" s="24" t="n">
        <v>11518</v>
      </c>
      <c r="D69" s="16" t="n">
        <f aca="false">B69/C69-1</f>
        <v>0.0794408751519362</v>
      </c>
      <c r="E69" s="24" t="n">
        <v>13182</v>
      </c>
      <c r="F69" s="24" t="n">
        <v>11593</v>
      </c>
      <c r="G69" s="16" t="n">
        <f aca="false">E69/F69-1</f>
        <v>0.137065470542569</v>
      </c>
      <c r="H69" s="16" t="n">
        <f aca="false">E69/B69-1</f>
        <v>0.0602429019544759</v>
      </c>
    </row>
    <row r="70" customFormat="false" ht="15.75" hidden="false" customHeight="true" outlineLevel="0" collapsed="false">
      <c r="A70" s="4" t="s">
        <v>48</v>
      </c>
      <c r="B70" s="24" t="n">
        <v>13692</v>
      </c>
      <c r="C70" s="24" t="n">
        <v>13518</v>
      </c>
      <c r="D70" s="16" t="n">
        <f aca="false">B70/C70-1</f>
        <v>0.0128717265867733</v>
      </c>
      <c r="E70" s="24" t="n">
        <v>13916</v>
      </c>
      <c r="F70" s="24" t="n">
        <v>13634</v>
      </c>
      <c r="G70" s="16" t="n">
        <f aca="false">E70/F70-1</f>
        <v>0.0206835851547602</v>
      </c>
      <c r="H70" s="16" t="n">
        <f aca="false">E70/B70-1</f>
        <v>0.0163599182004091</v>
      </c>
    </row>
    <row r="71" customFormat="false" ht="15.75" hidden="false" customHeight="true" outlineLevel="0" collapsed="false">
      <c r="A71" s="4" t="s">
        <v>49</v>
      </c>
      <c r="B71" s="24" t="n">
        <v>8755</v>
      </c>
      <c r="C71" s="24" t="n">
        <v>8718</v>
      </c>
      <c r="D71" s="16" t="n">
        <f aca="false">B71/C71-1</f>
        <v>0.0042440926818077</v>
      </c>
      <c r="E71" s="24" t="n">
        <v>9019</v>
      </c>
      <c r="F71" s="24" t="n">
        <v>8996</v>
      </c>
      <c r="G71" s="16" t="n">
        <f aca="false">E71/F71-1</f>
        <v>0.00255669186305019</v>
      </c>
      <c r="H71" s="16" t="n">
        <f aca="false">E71/B71-1</f>
        <v>0.0301541976013706</v>
      </c>
    </row>
    <row r="72" customFormat="false" ht="15.75" hidden="false" customHeight="true" outlineLevel="0" collapsed="false">
      <c r="A72" s="4" t="s">
        <v>51</v>
      </c>
      <c r="B72" s="24" t="n">
        <v>9194</v>
      </c>
      <c r="C72" s="24" t="n">
        <v>9513</v>
      </c>
      <c r="D72" s="16" t="n">
        <f aca="false">B72/C72-1</f>
        <v>-0.0335330600231263</v>
      </c>
      <c r="E72" s="24" t="n">
        <v>9423</v>
      </c>
      <c r="F72" s="24" t="n">
        <v>9493</v>
      </c>
      <c r="G72" s="16" t="n">
        <f aca="false">E72/F72-1</f>
        <v>-0.00737385441904559</v>
      </c>
      <c r="H72" s="16" t="n">
        <f aca="false">E72/B72-1</f>
        <v>0.0249075484011312</v>
      </c>
    </row>
    <row r="73" customFormat="false" ht="15.75" hidden="false" customHeight="true" outlineLevel="0" collapsed="false">
      <c r="A73" s="4" t="s">
        <v>50</v>
      </c>
      <c r="B73" s="24" t="n">
        <v>6762</v>
      </c>
      <c r="C73" s="24" t="n">
        <v>6625</v>
      </c>
      <c r="D73" s="16" t="n">
        <f aca="false">B73/C73-1</f>
        <v>0.0206792452830189</v>
      </c>
      <c r="E73" s="24" t="n">
        <v>7011</v>
      </c>
      <c r="F73" s="24" t="n">
        <v>6818</v>
      </c>
      <c r="G73" s="16" t="n">
        <f aca="false">E73/F73-1</f>
        <v>0.0283074215312409</v>
      </c>
      <c r="H73" s="16" t="n">
        <f aca="false">E73/B73-1</f>
        <v>0.0368234250221828</v>
      </c>
    </row>
    <row r="74" customFormat="false" ht="15.75" hidden="false" customHeight="true" outlineLevel="0" collapsed="false">
      <c r="A74" s="4" t="s">
        <v>52</v>
      </c>
      <c r="B74" s="24" t="n">
        <v>9597</v>
      </c>
      <c r="C74" s="24" t="n">
        <v>9592</v>
      </c>
      <c r="D74" s="16" t="n">
        <f aca="false">B74/C74-1</f>
        <v>0.00052126772310257</v>
      </c>
      <c r="E74" s="24" t="n">
        <v>9768</v>
      </c>
      <c r="F74" s="24" t="n">
        <v>9887</v>
      </c>
      <c r="G74" s="16" t="n">
        <f aca="false">E74/F74-1</f>
        <v>-0.0120360068777182</v>
      </c>
      <c r="H74" s="16" t="n">
        <f aca="false">E74/B74-1</f>
        <v>0.0178180681462956</v>
      </c>
    </row>
    <row r="75" customFormat="false" ht="15.75" hidden="false" customHeight="true" outlineLevel="0" collapsed="false">
      <c r="A75" s="4" t="s">
        <v>178</v>
      </c>
      <c r="B75" s="24" t="n">
        <v>3399</v>
      </c>
      <c r="C75" s="24" t="n">
        <v>3399</v>
      </c>
      <c r="D75" s="16" t="n">
        <f aca="false">B75/C75-1</f>
        <v>0</v>
      </c>
      <c r="E75" s="24" t="n">
        <v>3439</v>
      </c>
      <c r="F75" s="24" t="n">
        <v>3466</v>
      </c>
      <c r="G75" s="16" t="n">
        <f aca="false">E75/F75-1</f>
        <v>-0.00778995960761686</v>
      </c>
      <c r="H75" s="16" t="n">
        <f aca="false">E75/B75-1</f>
        <v>0.011768167107973</v>
      </c>
    </row>
    <row r="76" customFormat="false" ht="15.75" hidden="false" customHeight="true" outlineLevel="0" collapsed="false">
      <c r="A76" s="4" t="s">
        <v>143</v>
      </c>
      <c r="B76" s="26" t="n">
        <f aca="false">SUM(B69:B75)</f>
        <v>63832</v>
      </c>
      <c r="C76" s="26" t="n">
        <f aca="false">SUM(C69:C75)</f>
        <v>62883</v>
      </c>
      <c r="D76" s="16" t="n">
        <f aca="false">B76/C76-1</f>
        <v>0.015091519170523</v>
      </c>
      <c r="E76" s="26" t="n">
        <f aca="false">SUM(E69:E75)</f>
        <v>65758</v>
      </c>
      <c r="F76" s="26" t="n">
        <f aca="false">SUM(F69:F75)</f>
        <v>63887</v>
      </c>
      <c r="G76" s="16" t="n">
        <f aca="false">E76/F76-1</f>
        <v>0.0292860832407218</v>
      </c>
      <c r="H76" s="16" t="n">
        <f aca="false">E76/B76-1</f>
        <v>0.0301729540042612</v>
      </c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43.5" hidden="false" customHeight="true" outlineLevel="0" collapsed="false">
      <c r="A79" s="2" t="s">
        <v>179</v>
      </c>
      <c r="B79" s="2"/>
      <c r="C79" s="2"/>
      <c r="D79" s="2"/>
      <c r="E79" s="2"/>
      <c r="F79" s="2"/>
      <c r="G79" s="2"/>
      <c r="H79" s="2"/>
    </row>
    <row r="80" customFormat="false" ht="15.75" hidden="false" customHeight="true" outlineLevel="0" collapsed="false">
      <c r="A80" s="18" t="s">
        <v>180</v>
      </c>
      <c r="B80" s="18" t="s">
        <v>181</v>
      </c>
      <c r="C80" s="18" t="s">
        <v>182</v>
      </c>
      <c r="D80" s="18" t="s">
        <v>183</v>
      </c>
      <c r="E80" s="18"/>
      <c r="F80" s="18"/>
      <c r="G80" s="18"/>
      <c r="H80" s="18" t="s">
        <v>184</v>
      </c>
    </row>
    <row r="81" customFormat="false" ht="15.75" hidden="false" customHeight="true" outlineLevel="0" collapsed="false">
      <c r="A81" s="4" t="s">
        <v>185</v>
      </c>
      <c r="B81" s="20" t="n">
        <v>0.073</v>
      </c>
      <c r="C81" s="4" t="s">
        <v>186</v>
      </c>
      <c r="D81" s="4" t="s">
        <v>187</v>
      </c>
      <c r="E81" s="4"/>
      <c r="F81" s="4"/>
      <c r="G81" s="4"/>
      <c r="H81" s="4" t="s">
        <v>188</v>
      </c>
    </row>
    <row r="82" customFormat="false" ht="30.75" hidden="false" customHeight="true" outlineLevel="0" collapsed="false">
      <c r="A82" s="4" t="s">
        <v>189</v>
      </c>
      <c r="B82" s="20" t="n">
        <v>0.207</v>
      </c>
      <c r="C82" s="4" t="s">
        <v>186</v>
      </c>
      <c r="D82" s="4" t="s">
        <v>187</v>
      </c>
      <c r="E82" s="4"/>
      <c r="F82" s="4"/>
      <c r="G82" s="4"/>
      <c r="H82" s="4" t="s">
        <v>190</v>
      </c>
    </row>
    <row r="83" customFormat="false" ht="15.75" hidden="false" customHeight="true" outlineLevel="0" collapsed="false">
      <c r="A83" s="4" t="s">
        <v>191</v>
      </c>
      <c r="B83" s="20" t="n">
        <v>0.123</v>
      </c>
      <c r="C83" s="4" t="s">
        <v>186</v>
      </c>
      <c r="D83" s="4" t="s">
        <v>187</v>
      </c>
      <c r="E83" s="4"/>
      <c r="F83" s="4"/>
      <c r="G83" s="4"/>
      <c r="H83" s="4" t="s">
        <v>192</v>
      </c>
    </row>
    <row r="84" customFormat="false" ht="15.75" hidden="false" customHeight="true" outlineLevel="0" collapsed="false">
      <c r="A84" s="4" t="s">
        <v>193</v>
      </c>
      <c r="B84" s="20" t="n">
        <v>0.04</v>
      </c>
      <c r="C84" s="4" t="s">
        <v>186</v>
      </c>
      <c r="D84" s="4" t="s">
        <v>187</v>
      </c>
      <c r="E84" s="4"/>
      <c r="F84" s="4"/>
      <c r="G84" s="4"/>
      <c r="H84" s="4" t="s">
        <v>194</v>
      </c>
    </row>
    <row r="85" customFormat="false" ht="30.75" hidden="false" customHeight="true" outlineLevel="0" collapsed="false">
      <c r="A85" s="4" t="s">
        <v>195</v>
      </c>
      <c r="B85" s="20" t="n">
        <v>0.018</v>
      </c>
      <c r="C85" s="4" t="s">
        <v>196</v>
      </c>
      <c r="D85" s="4" t="s">
        <v>187</v>
      </c>
      <c r="E85" s="4"/>
      <c r="F85" s="4"/>
      <c r="G85" s="4"/>
      <c r="H85" s="4" t="s">
        <v>197</v>
      </c>
    </row>
    <row r="86" customFormat="false" ht="15.75" hidden="false" customHeight="true" outlineLevel="0" collapsed="false">
      <c r="A86" s="4" t="s">
        <v>198</v>
      </c>
      <c r="B86" s="20" t="n">
        <v>0.042</v>
      </c>
      <c r="C86" s="4" t="s">
        <v>199</v>
      </c>
      <c r="D86" s="4" t="s">
        <v>200</v>
      </c>
      <c r="E86" s="4"/>
      <c r="F86" s="4"/>
      <c r="G86" s="4"/>
      <c r="H86" s="4" t="s">
        <v>201</v>
      </c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</sheetData>
  <autoFilter ref="A2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9"/>
    <col collapsed="false" customWidth="true" hidden="false" outlineLevel="0" max="3" min="2" style="1" width="15"/>
    <col collapsed="false" customWidth="true" hidden="false" outlineLevel="0" max="5" min="4" style="1" width="16"/>
    <col collapsed="false" customWidth="true" hidden="false" outlineLevel="0" max="10" min="6" style="1" width="15"/>
    <col collapsed="false" customWidth="true" hidden="false" outlineLevel="0" max="11" min="11" style="1" width="64"/>
  </cols>
  <sheetData>
    <row r="1" customFormat="false" ht="15" hidden="false" customHeight="true" outlineLevel="0" collapsed="false">
      <c r="A1" s="2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6.4" hidden="false" customHeight="true" outlineLevel="0" collapsed="false">
      <c r="A2" s="27" t="s">
        <v>203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customFormat="false" ht="15" hidden="false" customHeight="false" outlineLevel="0" collapsed="false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customFormat="false" ht="15" hidden="false" customHeight="true" outlineLevel="0" collapsed="false">
      <c r="A4" s="2" t="s">
        <v>204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6.4" hidden="false" customHeight="false" outlineLevel="0" collapsed="false">
      <c r="A5" s="18" t="s">
        <v>56</v>
      </c>
      <c r="B5" s="18" t="s">
        <v>205</v>
      </c>
      <c r="C5" s="18" t="s">
        <v>206</v>
      </c>
      <c r="D5" s="18" t="s">
        <v>207</v>
      </c>
      <c r="E5" s="18" t="s">
        <v>208</v>
      </c>
      <c r="F5" s="18" t="s">
        <v>209</v>
      </c>
      <c r="G5" s="18" t="s">
        <v>207</v>
      </c>
      <c r="H5" s="18" t="s">
        <v>210</v>
      </c>
      <c r="I5" s="18" t="s">
        <v>211</v>
      </c>
      <c r="J5" s="18" t="s">
        <v>207</v>
      </c>
      <c r="K5" s="18" t="s">
        <v>148</v>
      </c>
    </row>
    <row r="6" customFormat="false" ht="16.4" hidden="false" customHeight="false" outlineLevel="0" collapsed="false">
      <c r="A6" s="4" t="s">
        <v>43</v>
      </c>
      <c r="B6" s="29" t="n">
        <v>64108.3</v>
      </c>
      <c r="C6" s="17" t="n">
        <f aca="false">'Citi Bridge'!C3</f>
        <v>64482.5</v>
      </c>
      <c r="D6" s="30" t="n">
        <f aca="false">B6-C6</f>
        <v>-374.199999999997</v>
      </c>
      <c r="E6" s="29" t="n">
        <v>66026.4</v>
      </c>
      <c r="F6" s="17" t="n">
        <f aca="false">'Citi Bridge'!D3</f>
        <v>66503.6</v>
      </c>
      <c r="G6" s="30" t="n">
        <f aca="false">E6-F6</f>
        <v>-477.200000000012</v>
      </c>
      <c r="H6" s="29" t="n">
        <v>69450.1</v>
      </c>
      <c r="I6" s="17" t="n">
        <f aca="false">'Citi Bridge'!E3</f>
        <v>69944.9</v>
      </c>
      <c r="J6" s="30" t="n">
        <f aca="false">H6-I6</f>
        <v>-494.799999999988</v>
      </c>
      <c r="K6" s="4" t="s">
        <v>212</v>
      </c>
    </row>
    <row r="7" customFormat="false" ht="31.3" hidden="false" customHeight="false" outlineLevel="0" collapsed="false">
      <c r="A7" s="4" t="s">
        <v>213</v>
      </c>
      <c r="B7" s="29" t="n">
        <v>7578</v>
      </c>
      <c r="C7" s="17" t="n">
        <f aca="false">'Citi Bridge'!C4</f>
        <v>7608</v>
      </c>
      <c r="D7" s="30" t="n">
        <f aca="false">B7-C7</f>
        <v>-30</v>
      </c>
      <c r="E7" s="29" t="n">
        <v>7652</v>
      </c>
      <c r="F7" s="17" t="n">
        <f aca="false">'Citi Bridge'!D4</f>
        <v>7721</v>
      </c>
      <c r="G7" s="30" t="n">
        <f aca="false">E7-F7</f>
        <v>-69</v>
      </c>
      <c r="H7" s="29" t="n">
        <v>8488</v>
      </c>
      <c r="I7" s="17" t="n">
        <f aca="false">'Citi Bridge'!E4</f>
        <v>8561</v>
      </c>
      <c r="J7" s="30" t="n">
        <f aca="false">H7-I7</f>
        <v>-73</v>
      </c>
      <c r="K7" s="4" t="s">
        <v>214</v>
      </c>
    </row>
    <row r="8" customFormat="false" ht="16.4" hidden="false" customHeight="false" outlineLevel="0" collapsed="false">
      <c r="A8" s="4" t="s">
        <v>215</v>
      </c>
      <c r="B8" s="29" t="n">
        <v>2.78</v>
      </c>
      <c r="C8" s="29" t="n">
        <v>2.8</v>
      </c>
      <c r="D8" s="30" t="n">
        <f aca="false">B8-C8</f>
        <v>-0.02</v>
      </c>
      <c r="E8" s="29" t="n">
        <v>2.58</v>
      </c>
      <c r="F8" s="29" t="n">
        <v>2.63</v>
      </c>
      <c r="G8" s="30" t="n">
        <f aca="false">E8-F8</f>
        <v>-0.0499999999999998</v>
      </c>
      <c r="H8" s="29" t="n">
        <v>3.5</v>
      </c>
      <c r="I8" s="29" t="n">
        <v>3.56</v>
      </c>
      <c r="J8" s="30" t="n">
        <f aca="false">H8-I8</f>
        <v>-0.0600000000000001</v>
      </c>
      <c r="K8" s="4" t="s">
        <v>216</v>
      </c>
    </row>
    <row r="9" customFormat="false" ht="16.4" hidden="false" customHeight="false" outlineLevel="0" collapsed="false">
      <c r="A9" s="4" t="s">
        <v>217</v>
      </c>
      <c r="B9" s="29" t="n">
        <v>1470</v>
      </c>
      <c r="C9" s="29" t="n">
        <v>1230</v>
      </c>
      <c r="D9" s="30" t="n">
        <f aca="false">B9-C9</f>
        <v>240</v>
      </c>
      <c r="E9" s="29" t="n">
        <v>3427</v>
      </c>
      <c r="F9" s="29" t="n">
        <v>3551</v>
      </c>
      <c r="G9" s="30" t="n">
        <f aca="false">E9-F9</f>
        <v>-124</v>
      </c>
      <c r="H9" s="28"/>
      <c r="I9" s="28"/>
      <c r="J9" s="28"/>
      <c r="K9" s="4" t="s">
        <v>218</v>
      </c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customFormat="false" ht="15" hidden="false" customHeight="true" outlineLevel="0" collapsed="false">
      <c r="A12" s="2" t="s">
        <v>219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31.3" hidden="false" customHeight="false" outlineLevel="0" collapsed="false">
      <c r="A13" s="18" t="s">
        <v>220</v>
      </c>
      <c r="B13" s="18" t="s">
        <v>221</v>
      </c>
      <c r="C13" s="18" t="s">
        <v>222</v>
      </c>
      <c r="D13" s="18" t="s">
        <v>223</v>
      </c>
      <c r="E13" s="18" t="s">
        <v>224</v>
      </c>
      <c r="F13" s="18"/>
      <c r="G13" s="18"/>
      <c r="H13" s="18"/>
      <c r="I13" s="18"/>
      <c r="J13" s="18"/>
      <c r="K13" s="18"/>
    </row>
    <row r="14" customFormat="false" ht="76.1" hidden="false" customHeight="false" outlineLevel="0" collapsed="false">
      <c r="A14" s="4" t="s">
        <v>225</v>
      </c>
      <c r="B14" s="31" t="n">
        <v>10</v>
      </c>
      <c r="C14" s="31" t="n">
        <v>10</v>
      </c>
      <c r="D14" s="4" t="s">
        <v>226</v>
      </c>
      <c r="E14" s="4" t="s">
        <v>227</v>
      </c>
      <c r="F14" s="28"/>
      <c r="G14" s="28"/>
      <c r="H14" s="28"/>
      <c r="I14" s="28"/>
      <c r="J14" s="28"/>
      <c r="K14" s="28"/>
    </row>
    <row r="15" customFormat="false" ht="16.4" hidden="false" customHeight="false" outlineLevel="0" collapsed="false">
      <c r="A15" s="4" t="s">
        <v>228</v>
      </c>
      <c r="B15" s="32" t="n">
        <v>0.75</v>
      </c>
      <c r="C15" s="32" t="n">
        <v>0.75</v>
      </c>
      <c r="D15" s="4" t="s">
        <v>229</v>
      </c>
      <c r="E15" s="4" t="s">
        <v>230</v>
      </c>
      <c r="F15" s="28"/>
      <c r="G15" s="28"/>
      <c r="H15" s="28"/>
      <c r="I15" s="28"/>
      <c r="J15" s="28"/>
      <c r="K15" s="28"/>
    </row>
    <row r="16" customFormat="false" ht="46.25" hidden="false" customHeight="false" outlineLevel="0" collapsed="false">
      <c r="A16" s="4" t="s">
        <v>231</v>
      </c>
      <c r="B16" s="32" t="n">
        <v>0.75</v>
      </c>
      <c r="C16" s="32" t="n">
        <v>0.8</v>
      </c>
      <c r="D16" s="4" t="s">
        <v>229</v>
      </c>
      <c r="E16" s="4" t="s">
        <v>232</v>
      </c>
      <c r="F16" s="28"/>
      <c r="G16" s="28"/>
      <c r="H16" s="28"/>
      <c r="I16" s="28"/>
      <c r="J16" s="28"/>
      <c r="K16" s="28"/>
    </row>
    <row r="17" customFormat="false" ht="61.15" hidden="false" customHeight="false" outlineLevel="0" collapsed="false">
      <c r="A17" s="4" t="s">
        <v>233</v>
      </c>
      <c r="B17" s="31" t="n">
        <v>100</v>
      </c>
      <c r="C17" s="31" t="n">
        <v>100</v>
      </c>
      <c r="D17" s="4" t="s">
        <v>234</v>
      </c>
      <c r="E17" s="4" t="s">
        <v>235</v>
      </c>
      <c r="F17" s="28"/>
      <c r="G17" s="28"/>
      <c r="H17" s="28"/>
      <c r="I17" s="28"/>
      <c r="J17" s="28"/>
      <c r="K17" s="28"/>
    </row>
    <row r="18" customFormat="false" ht="61.15" hidden="false" customHeight="false" outlineLevel="0" collapsed="false">
      <c r="A18" s="4" t="s">
        <v>236</v>
      </c>
      <c r="B18" s="30" t="n">
        <f aca="false">B14*1000000*B15*B16*B17/1000000</f>
        <v>562.5</v>
      </c>
      <c r="C18" s="30" t="n">
        <f aca="false">C14*1000000*C15*C16*C17/1000000</f>
        <v>600</v>
      </c>
      <c r="D18" s="4" t="s">
        <v>146</v>
      </c>
      <c r="E18" s="4" t="s">
        <v>237</v>
      </c>
      <c r="F18" s="28"/>
      <c r="G18" s="28"/>
      <c r="H18" s="28"/>
      <c r="I18" s="28"/>
      <c r="J18" s="28"/>
      <c r="K18" s="28"/>
    </row>
    <row r="19" customFormat="false" ht="31.3" hidden="false" customHeight="false" outlineLevel="0" collapsed="false">
      <c r="A19" s="4" t="s">
        <v>238</v>
      </c>
      <c r="B19" s="29" t="n">
        <v>500</v>
      </c>
      <c r="C19" s="29" t="n">
        <v>600</v>
      </c>
      <c r="D19" s="4" t="s">
        <v>146</v>
      </c>
      <c r="E19" s="4" t="s">
        <v>239</v>
      </c>
      <c r="F19" s="28"/>
      <c r="G19" s="28"/>
      <c r="H19" s="28"/>
      <c r="I19" s="28"/>
      <c r="J19" s="28"/>
      <c r="K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customFormat="false" ht="15" hidden="false" customHeight="true" outlineLevel="0" collapsed="false">
      <c r="A22" s="2" t="s">
        <v>240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31.3" hidden="false" customHeight="false" outlineLevel="0" collapsed="false">
      <c r="A23" s="18" t="s">
        <v>220</v>
      </c>
      <c r="B23" s="18" t="s">
        <v>221</v>
      </c>
      <c r="C23" s="18" t="s">
        <v>222</v>
      </c>
      <c r="D23" s="18" t="s">
        <v>223</v>
      </c>
      <c r="E23" s="18" t="s">
        <v>224</v>
      </c>
      <c r="F23" s="18"/>
      <c r="G23" s="18"/>
      <c r="H23" s="18"/>
      <c r="I23" s="18"/>
      <c r="J23" s="18"/>
      <c r="K23" s="18"/>
    </row>
    <row r="24" customFormat="false" ht="76.1" hidden="false" customHeight="false" outlineLevel="0" collapsed="false">
      <c r="A24" s="4" t="s">
        <v>241</v>
      </c>
      <c r="B24" s="32" t="n">
        <v>0.25</v>
      </c>
      <c r="C24" s="32" t="n">
        <v>0.25</v>
      </c>
      <c r="D24" s="4" t="s">
        <v>229</v>
      </c>
      <c r="E24" s="4" t="s">
        <v>242</v>
      </c>
      <c r="F24" s="28"/>
      <c r="G24" s="28"/>
      <c r="H24" s="28"/>
      <c r="I24" s="28"/>
      <c r="J24" s="28"/>
      <c r="K24" s="28"/>
    </row>
    <row r="25" customFormat="false" ht="16.4" hidden="false" customHeight="false" outlineLevel="0" collapsed="false">
      <c r="A25" s="4" t="s">
        <v>243</v>
      </c>
      <c r="B25" s="32" t="n">
        <v>0.02</v>
      </c>
      <c r="C25" s="32" t="n">
        <v>0.03</v>
      </c>
      <c r="D25" s="4" t="s">
        <v>244</v>
      </c>
      <c r="E25" s="4" t="s">
        <v>230</v>
      </c>
      <c r="F25" s="28"/>
      <c r="G25" s="28"/>
      <c r="H25" s="28"/>
      <c r="I25" s="28"/>
      <c r="J25" s="28"/>
      <c r="K25" s="28"/>
    </row>
    <row r="26" customFormat="false" ht="61.15" hidden="false" customHeight="false" outlineLevel="0" collapsed="false">
      <c r="A26" s="4" t="s">
        <v>245</v>
      </c>
      <c r="B26" s="32" t="n">
        <v>0.4</v>
      </c>
      <c r="C26" s="32" t="n">
        <v>0.4</v>
      </c>
      <c r="D26" s="4" t="s">
        <v>229</v>
      </c>
      <c r="E26" s="4" t="s">
        <v>246</v>
      </c>
      <c r="F26" s="28"/>
      <c r="G26" s="28"/>
      <c r="H26" s="28"/>
      <c r="I26" s="28"/>
      <c r="J26" s="28"/>
      <c r="K26" s="28"/>
    </row>
    <row r="27" customFormat="false" ht="16.4" hidden="false" customHeight="false" outlineLevel="0" collapsed="false">
      <c r="A27" s="4" t="s">
        <v>247</v>
      </c>
      <c r="B27" s="32" t="n">
        <v>0.74</v>
      </c>
      <c r="C27" s="32" t="n">
        <v>0.74</v>
      </c>
      <c r="D27" s="4" t="s">
        <v>229</v>
      </c>
      <c r="E27" s="4" t="s">
        <v>230</v>
      </c>
      <c r="F27" s="28"/>
      <c r="G27" s="28"/>
      <c r="H27" s="28"/>
      <c r="I27" s="28"/>
      <c r="J27" s="28"/>
      <c r="K27" s="28"/>
    </row>
    <row r="28" customFormat="false" ht="31.3" hidden="false" customHeight="false" outlineLevel="0" collapsed="false">
      <c r="A28" s="4" t="s">
        <v>248</v>
      </c>
      <c r="B28" s="32" t="n">
        <v>0.78</v>
      </c>
      <c r="C28" s="32" t="n">
        <v>0.81</v>
      </c>
      <c r="D28" s="4" t="s">
        <v>229</v>
      </c>
      <c r="E28" s="4" t="s">
        <v>249</v>
      </c>
      <c r="F28" s="28"/>
      <c r="G28" s="28"/>
      <c r="H28" s="28"/>
      <c r="I28" s="28"/>
      <c r="J28" s="28"/>
      <c r="K28" s="28"/>
    </row>
    <row r="29" customFormat="false" ht="31.3" hidden="false" customHeight="false" outlineLevel="0" collapsed="false">
      <c r="A29" s="4" t="s">
        <v>250</v>
      </c>
      <c r="B29" s="31" t="n">
        <v>4</v>
      </c>
      <c r="C29" s="31" t="n">
        <v>6</v>
      </c>
      <c r="D29" s="4" t="s">
        <v>244</v>
      </c>
      <c r="E29" s="4" t="s">
        <v>251</v>
      </c>
      <c r="F29" s="28"/>
      <c r="G29" s="28"/>
      <c r="H29" s="28"/>
      <c r="I29" s="28"/>
      <c r="J29" s="28"/>
      <c r="K29" s="28"/>
    </row>
    <row r="30" customFormat="false" ht="76.1" hidden="false" customHeight="false" outlineLevel="0" collapsed="false">
      <c r="A30" s="4" t="s">
        <v>252</v>
      </c>
      <c r="B30" s="31" t="n">
        <v>200</v>
      </c>
      <c r="C30" s="31" t="n">
        <v>200</v>
      </c>
      <c r="D30" s="4" t="s">
        <v>253</v>
      </c>
      <c r="E30" s="4" t="s">
        <v>254</v>
      </c>
      <c r="F30" s="28"/>
      <c r="G30" s="28"/>
      <c r="H30" s="28"/>
      <c r="I30" s="28"/>
      <c r="J30" s="28"/>
      <c r="K30" s="28"/>
    </row>
    <row r="31" customFormat="false" ht="46.25" hidden="false" customHeight="false" outlineLevel="0" collapsed="false">
      <c r="A31" s="4" t="s">
        <v>255</v>
      </c>
      <c r="B31" s="33" t="n">
        <f aca="false">B25/B24</f>
        <v>0.08</v>
      </c>
      <c r="C31" s="33" t="n">
        <f aca="false">C25/C24</f>
        <v>0.12</v>
      </c>
      <c r="D31" s="4" t="s">
        <v>229</v>
      </c>
      <c r="E31" s="4" t="s">
        <v>256</v>
      </c>
      <c r="F31" s="28"/>
      <c r="G31" s="28"/>
      <c r="H31" s="28"/>
      <c r="I31" s="28"/>
      <c r="J31" s="28"/>
      <c r="K31" s="28"/>
    </row>
    <row r="32" customFormat="false" ht="76.1" hidden="false" customHeight="false" outlineLevel="0" collapsed="false">
      <c r="A32" s="4" t="s">
        <v>257</v>
      </c>
      <c r="B32" s="33" t="n">
        <f aca="false">B31*B26</f>
        <v>0.032</v>
      </c>
      <c r="C32" s="33" t="n">
        <f aca="false">C31*C26</f>
        <v>0.048</v>
      </c>
      <c r="D32" s="4" t="s">
        <v>229</v>
      </c>
      <c r="E32" s="4" t="s">
        <v>258</v>
      </c>
      <c r="F32" s="28"/>
      <c r="G32" s="28"/>
      <c r="H32" s="28"/>
      <c r="I32" s="28"/>
      <c r="J32" s="28"/>
      <c r="K32" s="28"/>
    </row>
    <row r="33" customFormat="false" ht="61.15" hidden="false" customHeight="false" outlineLevel="0" collapsed="false">
      <c r="A33" s="4" t="s">
        <v>259</v>
      </c>
      <c r="B33" s="33" t="n">
        <f aca="false">B27*(1+B31)</f>
        <v>0.7992</v>
      </c>
      <c r="C33" s="33" t="n">
        <f aca="false">C27*(1+C31)</f>
        <v>0.8288</v>
      </c>
      <c r="D33" s="4" t="s">
        <v>229</v>
      </c>
      <c r="E33" s="4" t="s">
        <v>260</v>
      </c>
      <c r="F33" s="28"/>
      <c r="G33" s="28"/>
      <c r="H33" s="28"/>
      <c r="I33" s="28"/>
      <c r="J33" s="28"/>
      <c r="K33" s="28"/>
    </row>
    <row r="34" customFormat="false" ht="31.3" hidden="false" customHeight="false" outlineLevel="0" collapsed="false">
      <c r="A34" s="4" t="s">
        <v>261</v>
      </c>
      <c r="B34" s="34" t="n">
        <f aca="false">(B33-B27)*100</f>
        <v>5.92</v>
      </c>
      <c r="C34" s="34" t="n">
        <f aca="false">(C33-C27)*100</f>
        <v>8.88000000000001</v>
      </c>
      <c r="D34" s="4" t="s">
        <v>244</v>
      </c>
      <c r="E34" s="4" t="s">
        <v>262</v>
      </c>
      <c r="F34" s="28"/>
      <c r="G34" s="28"/>
      <c r="H34" s="28"/>
      <c r="I34" s="28"/>
      <c r="J34" s="28"/>
      <c r="K34" s="28"/>
    </row>
    <row r="35" customFormat="false" ht="61.15" hidden="false" customHeight="false" outlineLevel="0" collapsed="false">
      <c r="A35" s="4" t="s">
        <v>263</v>
      </c>
      <c r="B35" s="30" t="n">
        <f aca="false">B29*B30</f>
        <v>800</v>
      </c>
      <c r="C35" s="30" t="n">
        <f aca="false">C29*C30</f>
        <v>1200</v>
      </c>
      <c r="D35" s="4" t="s">
        <v>146</v>
      </c>
      <c r="E35" s="4" t="s">
        <v>264</v>
      </c>
      <c r="F35" s="28"/>
      <c r="G35" s="28"/>
      <c r="H35" s="28"/>
      <c r="I35" s="28"/>
      <c r="J35" s="28"/>
      <c r="K35" s="28"/>
    </row>
    <row r="36" customFormat="false" ht="105.95" hidden="false" customHeight="false" outlineLevel="0" collapsed="false">
      <c r="A36" s="4" t="s">
        <v>265</v>
      </c>
      <c r="B36" s="30" t="n">
        <f aca="false">B29*B30*B26</f>
        <v>320</v>
      </c>
      <c r="C36" s="30" t="n">
        <f aca="false">C29*C30*C26</f>
        <v>480</v>
      </c>
      <c r="D36" s="4" t="s">
        <v>146</v>
      </c>
      <c r="E36" s="4" t="s">
        <v>266</v>
      </c>
      <c r="F36" s="28"/>
      <c r="G36" s="28"/>
      <c r="H36" s="28"/>
      <c r="I36" s="28"/>
      <c r="J36" s="28"/>
      <c r="K36" s="28"/>
    </row>
    <row r="37" customFormat="false" ht="76.1" hidden="false" customHeight="false" outlineLevel="0" collapsed="false">
      <c r="A37" s="4" t="s">
        <v>267</v>
      </c>
      <c r="B37" s="29" t="n">
        <v>400</v>
      </c>
      <c r="C37" s="29" t="n">
        <v>600</v>
      </c>
      <c r="D37" s="4" t="s">
        <v>146</v>
      </c>
      <c r="E37" s="4" t="s">
        <v>268</v>
      </c>
      <c r="F37" s="28"/>
      <c r="G37" s="28"/>
      <c r="H37" s="28"/>
      <c r="I37" s="28"/>
      <c r="J37" s="28"/>
      <c r="K37" s="28"/>
    </row>
    <row r="38" customFormat="false" ht="31.3" hidden="false" customHeight="false" outlineLevel="0" collapsed="false">
      <c r="A38" s="4" t="s">
        <v>269</v>
      </c>
      <c r="B38" s="30" t="n">
        <f aca="false">B37/B29</f>
        <v>100</v>
      </c>
      <c r="C38" s="30" t="n">
        <f aca="false">C37/C29</f>
        <v>100</v>
      </c>
      <c r="D38" s="4" t="s">
        <v>253</v>
      </c>
      <c r="E38" s="4" t="s">
        <v>270</v>
      </c>
      <c r="F38" s="28"/>
      <c r="G38" s="28"/>
      <c r="H38" s="28"/>
      <c r="I38" s="28"/>
      <c r="J38" s="28"/>
      <c r="K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customFormat="false" ht="1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customFormat="false" ht="15" hidden="false" customHeight="true" outlineLevel="0" collapsed="false">
      <c r="A41" s="2" t="s">
        <v>271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31.3" hidden="false" customHeight="false" outlineLevel="0" collapsed="false">
      <c r="A42" s="18" t="s">
        <v>56</v>
      </c>
      <c r="B42" s="18" t="s">
        <v>181</v>
      </c>
      <c r="C42" s="18" t="s">
        <v>223</v>
      </c>
      <c r="D42" s="18" t="s">
        <v>224</v>
      </c>
      <c r="E42" s="18"/>
      <c r="F42" s="18"/>
      <c r="G42" s="18"/>
      <c r="H42" s="18"/>
      <c r="I42" s="18"/>
      <c r="J42" s="18"/>
      <c r="K42" s="18"/>
    </row>
    <row r="43" customFormat="false" ht="31.3" hidden="false" customHeight="false" outlineLevel="0" collapsed="false">
      <c r="A43" s="4" t="s">
        <v>272</v>
      </c>
      <c r="B43" s="35" t="n">
        <f aca="false">E7</f>
        <v>7652</v>
      </c>
      <c r="C43" s="4" t="s">
        <v>146</v>
      </c>
      <c r="D43" s="4" t="s">
        <v>273</v>
      </c>
      <c r="E43" s="28"/>
      <c r="F43" s="28"/>
      <c r="G43" s="28"/>
      <c r="H43" s="28"/>
      <c r="I43" s="28"/>
      <c r="J43" s="28"/>
      <c r="K43" s="28"/>
    </row>
    <row r="44" customFormat="false" ht="61.15" hidden="false" customHeight="false" outlineLevel="0" collapsed="false">
      <c r="A44" s="4" t="s">
        <v>274</v>
      </c>
      <c r="B44" s="31" t="n">
        <v>1000</v>
      </c>
      <c r="C44" s="4" t="s">
        <v>146</v>
      </c>
      <c r="D44" s="4" t="s">
        <v>275</v>
      </c>
      <c r="E44" s="28"/>
      <c r="F44" s="28"/>
      <c r="G44" s="28"/>
      <c r="H44" s="28"/>
      <c r="I44" s="28"/>
      <c r="J44" s="28"/>
      <c r="K44" s="28"/>
    </row>
    <row r="45" customFormat="false" ht="46.25" hidden="false" customHeight="false" outlineLevel="0" collapsed="false">
      <c r="A45" s="4" t="s">
        <v>276</v>
      </c>
      <c r="B45" s="35" t="n">
        <f aca="false">B43+B44</f>
        <v>8652</v>
      </c>
      <c r="C45" s="4" t="s">
        <v>146</v>
      </c>
      <c r="D45" s="4" t="s">
        <v>277</v>
      </c>
      <c r="E45" s="28"/>
      <c r="F45" s="28"/>
      <c r="G45" s="28"/>
      <c r="H45" s="28"/>
      <c r="I45" s="28"/>
      <c r="J45" s="28"/>
      <c r="K45" s="28"/>
    </row>
    <row r="46" customFormat="false" ht="16.4" hidden="false" customHeight="false" outlineLevel="0" collapsed="false">
      <c r="A46" s="4" t="s">
        <v>278</v>
      </c>
      <c r="B46" s="33" t="n">
        <f aca="false">B44/B43</f>
        <v>0.130684788290643</v>
      </c>
      <c r="C46" s="4" t="s">
        <v>229</v>
      </c>
      <c r="D46" s="4" t="s">
        <v>279</v>
      </c>
      <c r="E46" s="28"/>
      <c r="F46" s="28"/>
      <c r="G46" s="28"/>
      <c r="H46" s="28"/>
      <c r="I46" s="28"/>
      <c r="J46" s="28"/>
      <c r="K46" s="28"/>
    </row>
    <row r="47" customFormat="false" ht="46.25" hidden="false" customHeight="false" outlineLevel="0" collapsed="false">
      <c r="A47" s="4" t="s">
        <v>131</v>
      </c>
      <c r="B47" s="31" t="n">
        <v>9150</v>
      </c>
      <c r="C47" s="4" t="s">
        <v>146</v>
      </c>
      <c r="D47" s="4" t="s">
        <v>280</v>
      </c>
      <c r="E47" s="28"/>
      <c r="F47" s="28"/>
      <c r="G47" s="28"/>
      <c r="H47" s="28"/>
      <c r="I47" s="28"/>
      <c r="J47" s="28"/>
      <c r="K47" s="28"/>
    </row>
    <row r="48" customFormat="false" ht="31.3" hidden="false" customHeight="false" outlineLevel="0" collapsed="false">
      <c r="A48" s="4" t="s">
        <v>281</v>
      </c>
      <c r="B48" s="35" t="n">
        <f aca="false">B45-B47</f>
        <v>-498</v>
      </c>
      <c r="C48" s="4" t="s">
        <v>146</v>
      </c>
      <c r="D48" s="4" t="s">
        <v>282</v>
      </c>
      <c r="E48" s="28"/>
      <c r="F48" s="28"/>
      <c r="G48" s="28"/>
      <c r="H48" s="28"/>
      <c r="I48" s="28"/>
      <c r="J48" s="28"/>
      <c r="K48" s="28"/>
    </row>
    <row r="49" customFormat="false" ht="31.3" hidden="false" customHeight="false" outlineLevel="0" collapsed="false">
      <c r="A49" s="4" t="s">
        <v>283</v>
      </c>
      <c r="B49" s="33" t="n">
        <f aca="false">B45/B47-1</f>
        <v>-0.0544262295081968</v>
      </c>
      <c r="C49" s="4" t="s">
        <v>229</v>
      </c>
      <c r="D49" s="4" t="s">
        <v>284</v>
      </c>
      <c r="E49" s="28"/>
      <c r="F49" s="28"/>
      <c r="G49" s="28"/>
      <c r="H49" s="28"/>
      <c r="I49" s="28"/>
      <c r="J49" s="28"/>
      <c r="K49" s="28"/>
    </row>
    <row r="50" customFormat="false" ht="61.15" hidden="false" customHeight="false" outlineLevel="0" collapsed="false">
      <c r="A50" s="4" t="s">
        <v>285</v>
      </c>
      <c r="B50" s="33" t="n">
        <f aca="false">B44/'Citi Bridge'!B4</f>
        <v>0.152578577967653</v>
      </c>
      <c r="C50" s="4" t="s">
        <v>229</v>
      </c>
      <c r="D50" s="4" t="s">
        <v>286</v>
      </c>
      <c r="E50" s="28"/>
      <c r="F50" s="28"/>
      <c r="G50" s="28"/>
      <c r="H50" s="28"/>
      <c r="I50" s="28"/>
      <c r="J50" s="28"/>
      <c r="K50" s="28"/>
    </row>
    <row r="51" customFormat="false" ht="76.1" hidden="false" customHeight="false" outlineLevel="0" collapsed="false">
      <c r="A51" s="4" t="s">
        <v>287</v>
      </c>
      <c r="B51" s="31" t="n">
        <v>0</v>
      </c>
      <c r="C51" s="4" t="s">
        <v>146</v>
      </c>
      <c r="D51" s="4" t="s">
        <v>288</v>
      </c>
      <c r="E51" s="28"/>
      <c r="F51" s="28"/>
      <c r="G51" s="28"/>
      <c r="H51" s="28"/>
      <c r="I51" s="28"/>
      <c r="J51" s="28"/>
      <c r="K51" s="28"/>
    </row>
    <row r="52" customFormat="false" ht="31.3" hidden="false" customHeight="false" outlineLevel="0" collapsed="false">
      <c r="A52" s="4" t="s">
        <v>289</v>
      </c>
      <c r="B52" s="31" t="n">
        <v>60</v>
      </c>
      <c r="C52" s="4" t="s">
        <v>290</v>
      </c>
      <c r="D52" s="4" t="s">
        <v>291</v>
      </c>
      <c r="E52" s="28"/>
      <c r="F52" s="28"/>
      <c r="G52" s="28"/>
      <c r="H52" s="28"/>
      <c r="I52" s="28"/>
      <c r="J52" s="28"/>
      <c r="K52" s="28"/>
    </row>
    <row r="53" customFormat="false" ht="31.3" hidden="false" customHeight="false" outlineLevel="0" collapsed="false">
      <c r="A53" s="4" t="s">
        <v>292</v>
      </c>
      <c r="B53" s="31" t="n">
        <v>53.38</v>
      </c>
      <c r="C53" s="4" t="s">
        <v>290</v>
      </c>
      <c r="D53" s="4" t="s">
        <v>293</v>
      </c>
      <c r="E53" s="28"/>
      <c r="F53" s="28"/>
      <c r="G53" s="28"/>
      <c r="H53" s="28"/>
      <c r="I53" s="28"/>
      <c r="J53" s="28"/>
      <c r="K53" s="28"/>
    </row>
    <row r="54" customFormat="false" ht="31.3" hidden="false" customHeight="false" outlineLevel="0" collapsed="false">
      <c r="A54" s="4" t="s">
        <v>294</v>
      </c>
      <c r="B54" s="33" t="n">
        <f aca="false">B52/B53-1</f>
        <v>0.124016485575122</v>
      </c>
      <c r="C54" s="4" t="s">
        <v>229</v>
      </c>
      <c r="D54" s="4" t="s">
        <v>295</v>
      </c>
      <c r="E54" s="28"/>
      <c r="F54" s="28"/>
      <c r="G54" s="28"/>
      <c r="H54" s="28"/>
      <c r="I54" s="28"/>
      <c r="J54" s="28"/>
      <c r="K54" s="28"/>
    </row>
    <row r="55" customFormat="false" ht="46.25" hidden="false" customHeight="false" outlineLevel="0" collapsed="false">
      <c r="A55" s="4" t="s">
        <v>296</v>
      </c>
      <c r="B55" s="32" t="n">
        <v>0.166</v>
      </c>
      <c r="C55" s="4" t="s">
        <v>229</v>
      </c>
      <c r="D55" s="4" t="s">
        <v>297</v>
      </c>
      <c r="E55" s="28"/>
      <c r="F55" s="28"/>
      <c r="G55" s="28"/>
      <c r="H55" s="28"/>
      <c r="I55" s="28"/>
      <c r="J55" s="28"/>
      <c r="K55" s="28"/>
    </row>
    <row r="56" customFormat="false" ht="61.15" hidden="false" customHeight="false" outlineLevel="0" collapsed="false">
      <c r="A56" s="4" t="s">
        <v>298</v>
      </c>
      <c r="B56" s="36" t="n">
        <v>8.7</v>
      </c>
      <c r="C56" s="4" t="s">
        <v>299</v>
      </c>
      <c r="D56" s="4" t="s">
        <v>300</v>
      </c>
      <c r="E56" s="28"/>
      <c r="F56" s="28"/>
      <c r="G56" s="28"/>
      <c r="H56" s="28"/>
      <c r="I56" s="28"/>
      <c r="J56" s="28"/>
      <c r="K56" s="28"/>
    </row>
    <row r="57" customFormat="false" ht="1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customFormat="false" ht="1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customFormat="false" ht="15" hidden="false" customHeight="true" outlineLevel="0" collapsed="false">
      <c r="A59" s="2" t="s">
        <v>184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31.3" hidden="false" customHeight="false" outlineLevel="0" collapsed="false">
      <c r="A60" s="18" t="s">
        <v>301</v>
      </c>
      <c r="B60" s="18" t="s">
        <v>302</v>
      </c>
      <c r="C60" s="18" t="s">
        <v>303</v>
      </c>
      <c r="D60" s="18"/>
      <c r="E60" s="18"/>
      <c r="F60" s="18"/>
      <c r="G60" s="18"/>
      <c r="H60" s="18"/>
      <c r="I60" s="18"/>
      <c r="J60" s="18"/>
      <c r="K60" s="18"/>
    </row>
    <row r="61" customFormat="false" ht="16.4" hidden="false" customHeight="true" outlineLevel="0" collapsed="false">
      <c r="A61" s="4" t="s">
        <v>304</v>
      </c>
      <c r="B61" s="4" t="s">
        <v>305</v>
      </c>
      <c r="C61" s="27" t="s">
        <v>306</v>
      </c>
      <c r="D61" s="27"/>
      <c r="E61" s="27"/>
      <c r="F61" s="27"/>
      <c r="G61" s="27"/>
      <c r="H61" s="27"/>
      <c r="I61" s="27"/>
      <c r="J61" s="27"/>
      <c r="K61" s="27"/>
    </row>
    <row r="62" customFormat="false" ht="16.4" hidden="false" customHeight="true" outlineLevel="0" collapsed="false">
      <c r="A62" s="4" t="s">
        <v>307</v>
      </c>
      <c r="B62" s="4" t="s">
        <v>308</v>
      </c>
      <c r="C62" s="27" t="s">
        <v>309</v>
      </c>
      <c r="D62" s="27"/>
      <c r="E62" s="27"/>
      <c r="F62" s="27"/>
      <c r="G62" s="27"/>
      <c r="H62" s="27"/>
      <c r="I62" s="27"/>
      <c r="J62" s="27"/>
      <c r="K62" s="27"/>
    </row>
    <row r="63" customFormat="false" ht="31.3" hidden="false" customHeight="true" outlineLevel="0" collapsed="false">
      <c r="A63" s="4" t="s">
        <v>310</v>
      </c>
      <c r="B63" s="4" t="s">
        <v>311</v>
      </c>
      <c r="C63" s="27" t="s">
        <v>312</v>
      </c>
      <c r="D63" s="27"/>
      <c r="E63" s="27"/>
      <c r="F63" s="27"/>
      <c r="G63" s="27"/>
      <c r="H63" s="27"/>
      <c r="I63" s="27"/>
      <c r="J63" s="27"/>
      <c r="K63" s="27"/>
    </row>
    <row r="64" customFormat="false" ht="16.4" hidden="false" customHeight="true" outlineLevel="0" collapsed="false">
      <c r="A64" s="4" t="s">
        <v>313</v>
      </c>
      <c r="B64" s="4" t="s">
        <v>314</v>
      </c>
      <c r="C64" s="27" t="s">
        <v>315</v>
      </c>
      <c r="D64" s="27"/>
      <c r="E64" s="27"/>
      <c r="F64" s="27"/>
      <c r="G64" s="27"/>
      <c r="H64" s="27"/>
      <c r="I64" s="27"/>
      <c r="J64" s="27"/>
      <c r="K64" s="27"/>
    </row>
    <row r="65" customFormat="false" ht="16.4" hidden="false" customHeight="true" outlineLevel="0" collapsed="false">
      <c r="A65" s="4" t="s">
        <v>316</v>
      </c>
      <c r="B65" s="4" t="s">
        <v>317</v>
      </c>
      <c r="C65" s="27" t="s">
        <v>318</v>
      </c>
      <c r="D65" s="27"/>
      <c r="E65" s="27"/>
      <c r="F65" s="27"/>
      <c r="G65" s="27"/>
      <c r="H65" s="27"/>
      <c r="I65" s="27"/>
      <c r="J65" s="27"/>
      <c r="K65" s="27"/>
    </row>
  </sheetData>
  <mergeCells count="12">
    <mergeCell ref="A1:K1"/>
    <mergeCell ref="A2:K2"/>
    <mergeCell ref="A4:K4"/>
    <mergeCell ref="A12:K12"/>
    <mergeCell ref="A22:K22"/>
    <mergeCell ref="A41:K41"/>
    <mergeCell ref="A59:K59"/>
    <mergeCell ref="C61:K61"/>
    <mergeCell ref="C62:K62"/>
    <mergeCell ref="C63:K63"/>
    <mergeCell ref="C64:K64"/>
    <mergeCell ref="C65:K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9"/>
    <col collapsed="false" customWidth="true" hidden="false" outlineLevel="0" max="5" min="2" style="1" width="19"/>
  </cols>
  <sheetData>
    <row r="1" customFormat="false" ht="15" hidden="false" customHeight="true" outlineLevel="0" collapsed="false">
      <c r="A1" s="2" t="s">
        <v>319</v>
      </c>
      <c r="B1" s="2"/>
      <c r="C1" s="2"/>
      <c r="D1" s="2"/>
      <c r="E1" s="2"/>
    </row>
    <row r="2" customFormat="false" ht="30.75" hidden="false" customHeight="true" outlineLevel="0" collapsed="false">
      <c r="A2" s="18" t="s">
        <v>56</v>
      </c>
      <c r="B2" s="18" t="s">
        <v>10</v>
      </c>
      <c r="C2" s="18" t="s">
        <v>37</v>
      </c>
      <c r="D2" s="18" t="s">
        <v>38</v>
      </c>
      <c r="E2" s="18" t="s">
        <v>320</v>
      </c>
    </row>
    <row r="3" customFormat="false" ht="75.75" hidden="false" customHeight="true" outlineLevel="0" collapsed="false">
      <c r="A3" s="4" t="s">
        <v>321</v>
      </c>
      <c r="B3" s="14" t="n">
        <v>3984</v>
      </c>
      <c r="C3" s="14" t="n">
        <v>1028</v>
      </c>
      <c r="D3" s="14" t="n">
        <v>1953</v>
      </c>
      <c r="E3" s="4" t="s">
        <v>322</v>
      </c>
    </row>
    <row r="4" customFormat="false" ht="90.75" hidden="false" customHeight="true" outlineLevel="0" collapsed="false">
      <c r="A4" s="4" t="s">
        <v>323</v>
      </c>
      <c r="B4" s="14" t="n">
        <v>554</v>
      </c>
      <c r="C4" s="14" t="n">
        <v>144</v>
      </c>
      <c r="D4" s="14" t="n">
        <v>282</v>
      </c>
      <c r="E4" s="4" t="s">
        <v>324</v>
      </c>
    </row>
    <row r="5" customFormat="false" ht="30.75" hidden="false" customHeight="true" outlineLevel="0" collapsed="false">
      <c r="A5" s="4" t="s">
        <v>325</v>
      </c>
      <c r="B5" s="14" t="n">
        <v>6509</v>
      </c>
      <c r="C5" s="14" t="n">
        <v>1709</v>
      </c>
      <c r="D5" s="14" t="n">
        <v>3378</v>
      </c>
      <c r="E5" s="4" t="s">
        <v>326</v>
      </c>
    </row>
    <row r="6" customFormat="false" ht="30.75" hidden="false" customHeight="true" outlineLevel="0" collapsed="false">
      <c r="A6" s="4" t="s">
        <v>327</v>
      </c>
      <c r="B6" s="14" t="n">
        <v>649</v>
      </c>
      <c r="C6" s="14" t="n">
        <v>204</v>
      </c>
      <c r="D6" s="14" t="n">
        <v>396</v>
      </c>
      <c r="E6" s="4" t="s">
        <v>328</v>
      </c>
    </row>
    <row r="7" customFormat="false" ht="45.75" hidden="false" customHeight="true" outlineLevel="0" collapsed="false">
      <c r="A7" s="4" t="s">
        <v>329</v>
      </c>
      <c r="B7" s="37" t="n">
        <v>0.1</v>
      </c>
      <c r="C7" s="37" t="n">
        <v>0.119</v>
      </c>
      <c r="D7" s="37" t="n">
        <v>0.117</v>
      </c>
      <c r="E7" s="16" t="s">
        <v>330</v>
      </c>
    </row>
    <row r="8" customFormat="false" ht="60.75" hidden="false" customHeight="true" outlineLevel="0" collapsed="false">
      <c r="A8" s="4" t="s">
        <v>331</v>
      </c>
      <c r="B8" s="16"/>
      <c r="C8" s="37" t="n">
        <v>-0.017</v>
      </c>
      <c r="D8" s="16"/>
      <c r="E8" s="16" t="s">
        <v>332</v>
      </c>
    </row>
    <row r="9" customFormat="false" ht="75.75" hidden="false" customHeight="true" outlineLevel="0" collapsed="false">
      <c r="A9" s="4" t="s">
        <v>333</v>
      </c>
      <c r="B9" s="4"/>
      <c r="C9" s="4"/>
      <c r="D9" s="4"/>
      <c r="E9" s="4" t="s">
        <v>334</v>
      </c>
    </row>
    <row r="10" customFormat="false" ht="15" hidden="false" customHeight="true" outlineLevel="0" collapsed="false">
      <c r="A10" s="4"/>
      <c r="B10" s="4"/>
      <c r="C10" s="4"/>
      <c r="D10" s="4"/>
      <c r="E10" s="4"/>
    </row>
    <row r="11" customFormat="false" ht="15" hidden="false" customHeight="true" outlineLevel="0" collapsed="false">
      <c r="A11" s="4"/>
      <c r="B11" s="4"/>
      <c r="C11" s="4"/>
      <c r="D11" s="4"/>
      <c r="E11" s="4"/>
    </row>
    <row r="12" customFormat="false" ht="15.75" hidden="false" customHeight="true" outlineLevel="0" collapsed="false">
      <c r="A12" s="4" t="s">
        <v>335</v>
      </c>
      <c r="B12" s="4"/>
      <c r="C12" s="4"/>
      <c r="D12" s="4"/>
      <c r="E12" s="4"/>
    </row>
    <row r="13" customFormat="false" ht="15.75" hidden="false" customHeight="true" outlineLevel="0" collapsed="false">
      <c r="A13" s="4" t="s">
        <v>336</v>
      </c>
      <c r="B13" s="17" t="n">
        <f aca="false">C3*4</f>
        <v>4112</v>
      </c>
      <c r="C13" s="4" t="s">
        <v>337</v>
      </c>
      <c r="D13" s="4"/>
      <c r="E13" s="4"/>
    </row>
    <row r="14" customFormat="false" ht="15.75" hidden="false" customHeight="true" outlineLevel="0" collapsed="false">
      <c r="A14" s="4" t="s">
        <v>338</v>
      </c>
      <c r="B14" s="17" t="n">
        <f aca="false">C4*4</f>
        <v>576</v>
      </c>
      <c r="C14" s="4" t="s">
        <v>337</v>
      </c>
      <c r="D14" s="4"/>
      <c r="E14" s="4"/>
    </row>
    <row r="15" customFormat="false" ht="45.75" hidden="false" customHeight="true" outlineLevel="0" collapsed="false">
      <c r="A15" s="4" t="s">
        <v>339</v>
      </c>
      <c r="B15" s="17" t="n">
        <f aca="false">'Consensus Bridge'!C9</f>
        <v>-0.02</v>
      </c>
      <c r="C15" s="4" t="s">
        <v>340</v>
      </c>
      <c r="D15" s="4"/>
      <c r="E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9"/>
    <col collapsed="false" customWidth="true" hidden="false" outlineLevel="0" max="9" min="2" style="1" width="19"/>
  </cols>
  <sheetData>
    <row r="1" customFormat="false" ht="29.25" hidden="false" customHeight="true" outlineLevel="0" collapsed="false">
      <c r="A1" s="2" t="s">
        <v>341</v>
      </c>
      <c r="B1" s="2" t="s">
        <v>342</v>
      </c>
      <c r="C1" s="2" t="s">
        <v>182</v>
      </c>
      <c r="D1" s="2" t="s">
        <v>343</v>
      </c>
      <c r="E1" s="2" t="s">
        <v>344</v>
      </c>
      <c r="F1" s="2" t="s">
        <v>345</v>
      </c>
      <c r="G1" s="2" t="s">
        <v>346</v>
      </c>
      <c r="H1" s="2" t="s">
        <v>347</v>
      </c>
      <c r="I1" s="2" t="s">
        <v>348</v>
      </c>
    </row>
    <row r="2" customFormat="false" ht="165.75" hidden="false" customHeight="true" outlineLevel="0" collapsed="false">
      <c r="A2" s="38" t="s">
        <v>349</v>
      </c>
      <c r="B2" s="38" t="s">
        <v>350</v>
      </c>
      <c r="C2" s="38" t="s">
        <v>10</v>
      </c>
      <c r="D2" s="38" t="s">
        <v>351</v>
      </c>
      <c r="E2" s="38" t="s">
        <v>352</v>
      </c>
      <c r="F2" s="38" t="s">
        <v>353</v>
      </c>
      <c r="G2" s="38" t="s">
        <v>354</v>
      </c>
      <c r="H2" s="38" t="s">
        <v>355</v>
      </c>
      <c r="I2" s="38" t="s">
        <v>356</v>
      </c>
    </row>
    <row r="3" customFormat="false" ht="195" hidden="false" customHeight="true" outlineLevel="0" collapsed="false">
      <c r="A3" s="4" t="s">
        <v>349</v>
      </c>
      <c r="B3" s="4" t="s">
        <v>357</v>
      </c>
      <c r="C3" s="4" t="s">
        <v>358</v>
      </c>
      <c r="D3" s="4" t="s">
        <v>359</v>
      </c>
      <c r="E3" s="4" t="s">
        <v>360</v>
      </c>
      <c r="F3" s="4" t="s">
        <v>361</v>
      </c>
      <c r="G3" s="4" t="s">
        <v>362</v>
      </c>
      <c r="H3" s="4" t="s">
        <v>363</v>
      </c>
      <c r="I3" s="4" t="s">
        <v>356</v>
      </c>
    </row>
    <row r="4" customFormat="false" ht="60.75" hidden="false" customHeight="true" outlineLevel="0" collapsed="false">
      <c r="A4" s="4" t="s">
        <v>364</v>
      </c>
      <c r="B4" s="4" t="s">
        <v>365</v>
      </c>
      <c r="C4" s="4" t="s">
        <v>14</v>
      </c>
      <c r="D4" s="4" t="s">
        <v>366</v>
      </c>
      <c r="E4" s="4" t="s">
        <v>367</v>
      </c>
      <c r="F4" s="4" t="s">
        <v>368</v>
      </c>
      <c r="G4" s="4" t="s">
        <v>369</v>
      </c>
      <c r="H4" s="4" t="s">
        <v>370</v>
      </c>
      <c r="I4" s="4" t="s">
        <v>356</v>
      </c>
    </row>
    <row r="5" customFormat="false" ht="75.75" hidden="false" customHeight="true" outlineLevel="0" collapsed="false">
      <c r="A5" s="4" t="s">
        <v>371</v>
      </c>
      <c r="B5" s="4" t="s">
        <v>372</v>
      </c>
      <c r="C5" s="4" t="s">
        <v>367</v>
      </c>
      <c r="D5" s="4" t="s">
        <v>373</v>
      </c>
      <c r="E5" s="4" t="s">
        <v>367</v>
      </c>
      <c r="F5" s="4" t="s">
        <v>374</v>
      </c>
      <c r="G5" s="4" t="s">
        <v>375</v>
      </c>
      <c r="H5" s="4" t="s">
        <v>376</v>
      </c>
      <c r="I5" s="4" t="s">
        <v>356</v>
      </c>
    </row>
    <row r="6" customFormat="false" ht="90.75" hidden="false" customHeight="true" outlineLevel="0" collapsed="false">
      <c r="A6" s="4" t="s">
        <v>377</v>
      </c>
      <c r="B6" s="4" t="s">
        <v>378</v>
      </c>
      <c r="C6" s="4" t="s">
        <v>14</v>
      </c>
      <c r="D6" s="4" t="s">
        <v>379</v>
      </c>
      <c r="E6" s="4" t="s">
        <v>16</v>
      </c>
      <c r="F6" s="4" t="s">
        <v>380</v>
      </c>
      <c r="G6" s="4" t="s">
        <v>381</v>
      </c>
      <c r="H6" s="4" t="s">
        <v>382</v>
      </c>
      <c r="I6" s="4" t="s">
        <v>356</v>
      </c>
    </row>
    <row r="7" customFormat="false" ht="76.1" hidden="false" customHeight="false" outlineLevel="0" collapsed="false">
      <c r="A7" s="4" t="s">
        <v>383</v>
      </c>
      <c r="B7" s="4" t="s">
        <v>384</v>
      </c>
      <c r="C7" s="4" t="s">
        <v>14</v>
      </c>
      <c r="D7" s="4" t="s">
        <v>385</v>
      </c>
      <c r="E7" s="4" t="s">
        <v>18</v>
      </c>
      <c r="F7" s="4" t="s">
        <v>386</v>
      </c>
      <c r="G7" s="4" t="s">
        <v>387</v>
      </c>
      <c r="H7" s="4" t="s">
        <v>388</v>
      </c>
      <c r="I7" s="4" t="s">
        <v>356</v>
      </c>
    </row>
    <row r="8" customFormat="false" ht="76.1" hidden="false" customHeight="false" outlineLevel="0" collapsed="false">
      <c r="A8" s="4" t="s">
        <v>383</v>
      </c>
      <c r="B8" s="4" t="s">
        <v>389</v>
      </c>
      <c r="C8" s="4" t="s">
        <v>390</v>
      </c>
      <c r="D8" s="4" t="s">
        <v>391</v>
      </c>
      <c r="E8" s="4" t="s">
        <v>18</v>
      </c>
      <c r="F8" s="4" t="s">
        <v>392</v>
      </c>
      <c r="G8" s="4" t="s">
        <v>393</v>
      </c>
      <c r="H8" s="4" t="s">
        <v>394</v>
      </c>
      <c r="I8" s="4" t="s">
        <v>356</v>
      </c>
    </row>
    <row r="9" customFormat="false" ht="120.85" hidden="false" customHeight="false" outlineLevel="0" collapsed="false">
      <c r="A9" s="4" t="s">
        <v>383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356</v>
      </c>
    </row>
    <row r="10" customFormat="false" ht="120.85" hidden="false" customHeight="false" outlineLevel="0" collapsed="false">
      <c r="A10" s="4" t="s">
        <v>383</v>
      </c>
      <c r="B10" s="4" t="s">
        <v>402</v>
      </c>
      <c r="C10" s="4" t="s">
        <v>396</v>
      </c>
      <c r="D10" s="4" t="s">
        <v>403</v>
      </c>
      <c r="E10" s="4" t="s">
        <v>404</v>
      </c>
      <c r="F10" s="4" t="s">
        <v>405</v>
      </c>
      <c r="G10" s="4" t="s">
        <v>406</v>
      </c>
      <c r="H10" s="4" t="s">
        <v>407</v>
      </c>
      <c r="I10" s="4" t="s">
        <v>356</v>
      </c>
    </row>
    <row r="11" customFormat="false" ht="91" hidden="false" customHeight="false" outlineLevel="0" collapsed="false">
      <c r="A11" s="4" t="s">
        <v>383</v>
      </c>
      <c r="B11" s="4" t="s">
        <v>408</v>
      </c>
      <c r="C11" s="4" t="s">
        <v>396</v>
      </c>
      <c r="D11" s="4" t="s">
        <v>409</v>
      </c>
      <c r="E11" s="4" t="s">
        <v>410</v>
      </c>
      <c r="F11" s="4" t="s">
        <v>411</v>
      </c>
      <c r="G11" s="4" t="s">
        <v>412</v>
      </c>
      <c r="H11" s="4" t="s">
        <v>413</v>
      </c>
      <c r="I11" s="4" t="s">
        <v>356</v>
      </c>
    </row>
  </sheetData>
  <autoFilter ref="A1:I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9"/>
    <col collapsed="false" customWidth="true" hidden="false" outlineLevel="0" max="6" min="2" style="1" width="19"/>
  </cols>
  <sheetData>
    <row r="1" customFormat="false" ht="15" hidden="false" customHeight="true" outlineLevel="0" collapsed="false">
      <c r="A1" s="2" t="s">
        <v>414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</row>
    <row r="2" customFormat="false" ht="26.25" hidden="false" customHeight="true" outlineLevel="0" collapsed="false">
      <c r="A2" s="38" t="s">
        <v>420</v>
      </c>
      <c r="B2" s="39" t="n">
        <f aca="false">SUM('Segment Model'!B5,'Segment Model'!B12,'Segment Model'!B19,'Segment Model'!B26,'Segment Model'!B33,'Segment Model'!B40,'Segment Model'!B47)-'Segment Model'!B54</f>
        <v>-1</v>
      </c>
      <c r="C2" s="38" t="n">
        <v>1</v>
      </c>
      <c r="D2" s="39" t="str">
        <f aca="false">IF(ABS(B2)&lt;=C2,"OK","ERROR")</f>
        <v>OK</v>
      </c>
      <c r="E2" s="38" t="s">
        <v>421</v>
      </c>
      <c r="F2" s="38" t="s">
        <v>367</v>
      </c>
    </row>
    <row r="3" customFormat="false" ht="30.75" hidden="false" customHeight="true" outlineLevel="0" collapsed="false">
      <c r="A3" s="4" t="s">
        <v>422</v>
      </c>
      <c r="B3" s="17" t="n">
        <f aca="false">SUM('Segment Model'!C5,'Segment Model'!C12,'Segment Model'!C19,'Segment Model'!C26,'Segment Model'!C33,'Segment Model'!C40,'Segment Model'!C47)-'Segment Model'!C54</f>
        <v>-1</v>
      </c>
      <c r="C3" s="14" t="n">
        <v>1</v>
      </c>
      <c r="D3" s="17" t="str">
        <f aca="false">IF(ABS(B3)&lt;=C3,"OK","ERROR")</f>
        <v>OK</v>
      </c>
      <c r="E3" s="4" t="s">
        <v>421</v>
      </c>
      <c r="F3" s="4" t="s">
        <v>367</v>
      </c>
    </row>
    <row r="4" customFormat="false" ht="30.75" hidden="false" customHeight="true" outlineLevel="0" collapsed="false">
      <c r="A4" s="4" t="s">
        <v>423</v>
      </c>
      <c r="B4" s="17" t="n">
        <f aca="false">SUM('Segment Model'!D5,'Segment Model'!D12,'Segment Model'!D19,'Segment Model'!D26,'Segment Model'!D33,'Segment Model'!D40,'Segment Model'!D47)-'Segment Model'!D54</f>
        <v>0</v>
      </c>
      <c r="C4" s="14" t="n">
        <v>1</v>
      </c>
      <c r="D4" s="17" t="str">
        <f aca="false">IF(ABS(B4)&lt;=C4,"OK","ERROR")</f>
        <v>OK</v>
      </c>
      <c r="E4" s="4" t="s">
        <v>421</v>
      </c>
      <c r="F4" s="4" t="s">
        <v>367</v>
      </c>
    </row>
    <row r="5" customFormat="false" ht="15.75" hidden="false" customHeight="true" outlineLevel="0" collapsed="false">
      <c r="A5" s="4" t="s">
        <v>424</v>
      </c>
      <c r="B5" s="17" t="n">
        <f aca="false">'Consensus Bridge'!C8-'Consensus Bridge'!C7</f>
        <v>-0.02</v>
      </c>
      <c r="C5" s="14" t="n">
        <v>0</v>
      </c>
      <c r="D5" s="17" t="str">
        <f aca="false">IF(ABS(B5-'Consensus Bridge'!C9)&lt;=0.000001,"OK","ERROR")</f>
        <v>OK</v>
      </c>
      <c r="E5" s="4" t="s">
        <v>71</v>
      </c>
      <c r="F5" s="4" t="s">
        <v>367</v>
      </c>
    </row>
    <row r="6" customFormat="false" ht="15.75" hidden="false" customHeight="true" outlineLevel="0" collapsed="false">
      <c r="A6" s="4" t="s">
        <v>425</v>
      </c>
      <c r="B6" s="17" t="n">
        <f aca="false">'Consensus Bridge'!D8-'Consensus Bridge'!D7</f>
        <v>-0.02</v>
      </c>
      <c r="C6" s="14" t="n">
        <v>0</v>
      </c>
      <c r="D6" s="17" t="str">
        <f aca="false">IF(ABS(B6-'Consensus Bridge'!D9)&lt;=0.000001,"OK","ERROR")</f>
        <v>OK</v>
      </c>
      <c r="E6" s="4" t="s">
        <v>71</v>
      </c>
      <c r="F6" s="4" t="s">
        <v>367</v>
      </c>
    </row>
    <row r="7" customFormat="false" ht="15.75" hidden="false" customHeight="true" outlineLevel="0" collapsed="false">
      <c r="A7" s="4" t="s">
        <v>426</v>
      </c>
      <c r="B7" s="17" t="n">
        <f aca="false">'Consensus Bridge'!E8-'Consensus Bridge'!E7</f>
        <v>-0.1</v>
      </c>
      <c r="C7" s="14" t="n">
        <v>0</v>
      </c>
      <c r="D7" s="17" t="str">
        <f aca="false">IF(ABS(B7-'Consensus Bridge'!E9)&lt;=0.000001,"OK","ERROR")</f>
        <v>OK</v>
      </c>
      <c r="E7" s="4" t="s">
        <v>71</v>
      </c>
      <c r="F7" s="4" t="s">
        <v>367</v>
      </c>
    </row>
    <row r="8" customFormat="false" ht="30.75" hidden="false" customHeight="true" outlineLevel="0" collapsed="false">
      <c r="A8" s="4" t="s">
        <v>427</v>
      </c>
      <c r="B8" s="14" t="n">
        <v>0</v>
      </c>
      <c r="C8" s="14" t="n">
        <v>0</v>
      </c>
      <c r="D8" s="17" t="str">
        <f aca="false">IF(B8=0,"OK","ERROR")</f>
        <v>OK</v>
      </c>
      <c r="E8" s="4" t="s">
        <v>428</v>
      </c>
      <c r="F8" s="4" t="s">
        <v>367</v>
      </c>
    </row>
    <row r="9" customFormat="false" ht="45.75" hidden="false" customHeight="true" outlineLevel="0" collapsed="false">
      <c r="A9" s="4" t="s">
        <v>429</v>
      </c>
      <c r="B9" s="14" t="n">
        <f aca="false">'Citi Bridge'!B35-'Citi Bridge'!C7</f>
        <v>0</v>
      </c>
      <c r="C9" s="14" t="n">
        <v>0</v>
      </c>
      <c r="D9" s="17" t="str">
        <f aca="false">IF(ABS(B9)&lt;=C9,"OK","ERROR")</f>
        <v>OK</v>
      </c>
      <c r="E9" s="4" t="s">
        <v>430</v>
      </c>
      <c r="F9" s="4" t="s">
        <v>16</v>
      </c>
    </row>
    <row r="10" customFormat="false" ht="45.75" hidden="false" customHeight="true" outlineLevel="0" collapsed="false">
      <c r="A10" s="4" t="s">
        <v>431</v>
      </c>
      <c r="B10" s="14" t="n">
        <f aca="false">'Citi Bridge'!E35-'Citi Bridge'!D7</f>
        <v>0</v>
      </c>
      <c r="C10" s="14" t="n">
        <v>0</v>
      </c>
      <c r="D10" s="17" t="str">
        <f aca="false">IF(ABS(B10)&lt;=C10,"OK","ERROR")</f>
        <v>OK</v>
      </c>
      <c r="E10" s="4" t="s">
        <v>430</v>
      </c>
      <c r="F10" s="4" t="s">
        <v>16</v>
      </c>
    </row>
    <row r="11" customFormat="false" ht="30.75" hidden="false" customHeight="true" outlineLevel="0" collapsed="false">
      <c r="A11" s="4" t="s">
        <v>432</v>
      </c>
      <c r="B11" s="14" t="n">
        <f aca="false">'Citi Bridge'!B48-'Citi Bridge'!C7</f>
        <v>0</v>
      </c>
      <c r="C11" s="14" t="n">
        <v>0</v>
      </c>
      <c r="D11" s="17" t="str">
        <f aca="false">IF(ABS(B11)&lt;=C11,"OK","ERROR")</f>
        <v>OK</v>
      </c>
      <c r="E11" s="4" t="s">
        <v>433</v>
      </c>
      <c r="F11" s="4" t="s">
        <v>16</v>
      </c>
    </row>
    <row r="12" customFormat="false" ht="30.75" hidden="false" customHeight="true" outlineLevel="0" collapsed="false">
      <c r="A12" s="4" t="s">
        <v>434</v>
      </c>
      <c r="B12" s="14" t="n">
        <f aca="false">'Citi Bridge'!B61-7697</f>
        <v>0</v>
      </c>
      <c r="C12" s="14" t="n">
        <v>0</v>
      </c>
      <c r="D12" s="17" t="str">
        <f aca="false">IF(ABS(B12)&lt;=C12,"OK","ERROR")</f>
        <v>OK</v>
      </c>
      <c r="E12" s="4" t="s">
        <v>435</v>
      </c>
      <c r="F12" s="4" t="s">
        <v>16</v>
      </c>
    </row>
    <row r="13" customFormat="false" ht="60.75" hidden="false" customHeight="true" outlineLevel="0" collapsed="false">
      <c r="A13" s="4" t="s">
        <v>436</v>
      </c>
      <c r="B13" s="14" t="n">
        <f aca="false">'Citi Bridge'!B76-'Citi Bridge'!C6</f>
        <v>2</v>
      </c>
      <c r="C13" s="14" t="n">
        <v>2</v>
      </c>
      <c r="D13" s="17" t="str">
        <f aca="false">IF(ABS(B13)&lt;=C13,"OK","ERROR")</f>
        <v>OK</v>
      </c>
      <c r="E13" s="4" t="s">
        <v>437</v>
      </c>
      <c r="F13" s="4" t="s">
        <v>16</v>
      </c>
    </row>
    <row r="14" customFormat="false" ht="60.75" hidden="false" customHeight="true" outlineLevel="0" collapsed="false">
      <c r="A14" s="4" t="s">
        <v>438</v>
      </c>
      <c r="B14" s="14" t="n">
        <f aca="false">'Citi Bridge'!E76-'Citi Bridge'!D6</f>
        <v>1</v>
      </c>
      <c r="C14" s="14" t="n">
        <v>2</v>
      </c>
      <c r="D14" s="17" t="str">
        <f aca="false">IF(ABS(B14)&lt;=C14,"OK","ERROR")</f>
        <v>OK</v>
      </c>
      <c r="E14" s="4" t="s">
        <v>437</v>
      </c>
      <c r="F14" s="4" t="s">
        <v>16</v>
      </c>
    </row>
    <row r="15" customFormat="false" ht="45.75" hidden="false" customHeight="true" outlineLevel="0" collapsed="false">
      <c r="A15" s="4" t="s">
        <v>439</v>
      </c>
      <c r="B15" s="14" t="n">
        <v>0</v>
      </c>
      <c r="C15" s="14" t="n">
        <v>0</v>
      </c>
      <c r="D15" s="17" t="str">
        <f aca="false">IF(B15=0,"OK","ERROR")</f>
        <v>OK</v>
      </c>
      <c r="E15" s="4" t="s">
        <v>440</v>
      </c>
      <c r="F15" s="4" t="s">
        <v>18</v>
      </c>
    </row>
    <row r="16" customFormat="false" ht="31.3" hidden="false" customHeight="false" outlineLevel="0" collapsed="false">
      <c r="A16" s="4" t="s">
        <v>441</v>
      </c>
      <c r="B16" s="14" t="n">
        <f aca="false">'EU Policy Scenario'!B18-562.5</f>
        <v>0</v>
      </c>
      <c r="C16" s="14" t="n">
        <v>0</v>
      </c>
      <c r="D16" s="17" t="str">
        <f aca="false">IF(ABS(B16)&lt;=C16,"OK","ERROR")</f>
        <v>OK</v>
      </c>
      <c r="E16" s="4" t="s">
        <v>442</v>
      </c>
      <c r="F16" s="4" t="s">
        <v>18</v>
      </c>
    </row>
    <row r="17" customFormat="false" ht="31.3" hidden="false" customHeight="false" outlineLevel="0" collapsed="false">
      <c r="A17" s="4" t="s">
        <v>443</v>
      </c>
      <c r="B17" s="14" t="n">
        <f aca="false">'EU Policy Scenario'!C18-600</f>
        <v>0</v>
      </c>
      <c r="C17" s="14" t="n">
        <v>0</v>
      </c>
      <c r="D17" s="17" t="str">
        <f aca="false">IF(ABS(B17)&lt;=C17,"OK","ERROR")</f>
        <v>OK</v>
      </c>
      <c r="E17" s="4" t="s">
        <v>444</v>
      </c>
      <c r="F17" s="4" t="s">
        <v>18</v>
      </c>
    </row>
    <row r="18" customFormat="false" ht="16.4" hidden="false" customHeight="false" outlineLevel="0" collapsed="false">
      <c r="A18" s="4" t="s">
        <v>445</v>
      </c>
      <c r="B18" s="40" t="n">
        <f aca="false">'EU Policy Scenario'!B31-8%</f>
        <v>0</v>
      </c>
      <c r="C18" s="14" t="n">
        <v>0</v>
      </c>
      <c r="D18" s="17" t="str">
        <f aca="false">IF(ABS(B18)&lt;=C18,"OK","ERROR")</f>
        <v>OK</v>
      </c>
      <c r="E18" s="4" t="s">
        <v>446</v>
      </c>
      <c r="F18" s="4" t="s">
        <v>18</v>
      </c>
    </row>
    <row r="19" customFormat="false" ht="16.4" hidden="false" customHeight="false" outlineLevel="0" collapsed="false">
      <c r="A19" s="4" t="s">
        <v>447</v>
      </c>
      <c r="B19" s="40" t="n">
        <f aca="false">'EU Policy Scenario'!C31-12%</f>
        <v>0</v>
      </c>
      <c r="C19" s="14" t="n">
        <v>0</v>
      </c>
      <c r="D19" s="17" t="str">
        <f aca="false">IF(ABS(B19)&lt;=C19,"OK","ERROR")</f>
        <v>OK</v>
      </c>
      <c r="E19" s="4" t="s">
        <v>448</v>
      </c>
      <c r="F19" s="4" t="s">
        <v>18</v>
      </c>
    </row>
    <row r="20" customFormat="false" ht="16.4" hidden="false" customHeight="false" outlineLevel="0" collapsed="false">
      <c r="A20" s="4" t="s">
        <v>449</v>
      </c>
      <c r="B20" s="41" t="n">
        <f aca="false">'EU Policy Scenario'!B51</f>
        <v>0</v>
      </c>
      <c r="C20" s="14" t="n">
        <v>0</v>
      </c>
      <c r="D20" s="17" t="str">
        <f aca="false">IF(ABS(B20)&lt;=C20,"OK","ERROR")</f>
        <v>OK</v>
      </c>
      <c r="E20" s="4" t="s">
        <v>450</v>
      </c>
      <c r="F20" s="4" t="s">
        <v>18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2026-07-27T11:48:07Z</dcterms:created>
  <dc:creator>openpyxl</dc:creator>
  <dc:description/>
  <dc:language>zh-CN</dc:language>
  <cp:lastModifiedBy/>
  <dcterms:modified xsi:type="dcterms:W3CDTF">2026-09-03T16:28:37Z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