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Price Inputs" sheetId="3" state="visible" r:id="rId5"/>
    <sheet name="Volume-Price" sheetId="4" state="visible" r:id="rId6"/>
    <sheet name="Cost Bridge" sheetId="5" state="visible" r:id="rId7"/>
    <sheet name="Segment P&amp;L" sheetId="6" state="visible" r:id="rId8"/>
    <sheet name="Consol P&amp;L" sheetId="7" state="visible" r:id="rId9"/>
    <sheet name="Cash Flow" sheetId="8" state="visible" r:id="rId10"/>
    <sheet name="Spread Beta" sheetId="9" state="visible" r:id="rId11"/>
    <sheet name="Sources" sheetId="10" state="visible" r:id="rId12"/>
    <sheet name="Checks" sheetId="11" state="visible" r:id="rId13"/>
  </sheets>
  <definedNames>
    <definedName function="false" hidden="true" localSheetId="9" name="_xlnm._FilterDatabase" vbProcedure="false">Sources!$A$4:$L$5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<sst xmlns="http://schemas.openxmlformats.org/spreadsheetml/2006/main" count="485" uniqueCount="211">
  <si>
    <t xml:space="preserve">化工公司标准模型模板</t>
  </si>
  <si>
    <t xml:space="preserve">New period standard: annual 2018A–2025A; quarterly 2024Q1A–2026Q1A; annual forecast 2026E–2028E; quarterly forecast 2026Q2E–2027Q4E</t>
  </si>
  <si>
    <t xml:space="preserve">Model identity</t>
  </si>
  <si>
    <t xml:space="preserve">Company</t>
  </si>
  <si>
    <t xml:space="preserve">[Company]</t>
  </si>
  <si>
    <t xml:space="preserve">Ticker</t>
  </si>
  <si>
    <t xml:space="preserve">[Ticker]</t>
  </si>
  <si>
    <t xml:space="preserve">Currency / unit</t>
  </si>
  <si>
    <t xml:space="preserve">RMB mm</t>
  </si>
  <si>
    <t xml:space="preserve">Annual history</t>
  </si>
  <si>
    <t xml:space="preserve">2018A–2025A</t>
  </si>
  <si>
    <t xml:space="preserve">Quarterly history</t>
  </si>
  <si>
    <t xml:space="preserve">2024Q1A–2026Q1A</t>
  </si>
  <si>
    <t xml:space="preserve">Annual forecast</t>
  </si>
  <si>
    <t xml:space="preserve">2026E–2028E</t>
  </si>
  <si>
    <t xml:space="preserve">Quarterly forecast</t>
  </si>
  <si>
    <t xml:space="preserve">2026Q2E–2027Q4E</t>
  </si>
  <si>
    <t xml:space="preserve">Model date</t>
  </si>
  <si>
    <t xml:space="preserve">2026-07-27</t>
  </si>
  <si>
    <t xml:space="preserve">Version</t>
  </si>
  <si>
    <t xml:space="preserve">Period-standard v2.0</t>
  </si>
  <si>
    <t xml:space="preserve">Critical boundary notes</t>
  </si>
  <si>
    <t xml:space="preserve">Annual actuals use annual reports. Standalone Q2/Q3/Q4 consolidated actuals are arithmetic differences of cumulative primary filings; they are not estimates.</t>
  </si>
  <si>
    <t xml:space="preserve">Product-series sales volumes include internal use; apparent ASP is a blended proxy. Product-series revenue includes trade and internal-use revenue.</t>
  </si>
  <si>
    <t xml:space="preserve">Quarterly product-series costs are not disclosed and remain blank. No quarterly cost allocation is forced.</t>
  </si>
  <si>
    <t xml:space="preserve">Historical hardcodes are blue; formulas black; cross-sheet formulas green; forecast assumptions are yellow.</t>
  </si>
  <si>
    <t xml:space="preserve">All forecast passthroughs use IF(source="","",source) or equivalent blank gates.</t>
  </si>
  <si>
    <t xml:space="preserve">Color convention</t>
  </si>
  <si>
    <t xml:space="preserve">Hardcode / actual</t>
  </si>
  <si>
    <t xml:space="preserve">Aa123</t>
  </si>
  <si>
    <t xml:space="preserve">Formula</t>
  </si>
  <si>
    <t xml:space="preserve">Cross-sheet formula</t>
  </si>
  <si>
    <t xml:space="preserve">External link</t>
  </si>
  <si>
    <t xml:space="preserve">Forecast assumption</t>
  </si>
  <si>
    <t xml:space="preserve">Assumptions</t>
  </si>
  <si>
    <t xml:space="preserve">Only forecast columns are input-enabled; all are intentionally blank at hand-off.</t>
  </si>
  <si>
    <t xml:space="preserve">RMB mm unless stated</t>
  </si>
  <si>
    <t xml:space="preserve">2018A</t>
  </si>
  <si>
    <t xml:space="preserve">2019A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</si>
  <si>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</si>
  <si>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</si>
  <si>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</si>
  <si>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</si>
  <si>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</si>
  <si>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2025A</t>
  </si>
  <si>
    <t xml:space="preserve">2024Q1A</t>
  </si>
  <si>
    <t xml:space="preserve">2024Q2A</t>
  </si>
  <si>
    <t xml:space="preserve">2024Q3A</t>
  </si>
  <si>
    <t xml:space="preserve">2024Q4A</t>
  </si>
  <si>
    <t xml:space="preserve">2025Q1A</t>
  </si>
  <si>
    <t xml:space="preserve">2025Q2A</t>
  </si>
  <si>
    <t xml:space="preserve">2025Q3A</t>
  </si>
  <si>
    <t xml:space="preserve">2025Q4A</t>
  </si>
  <si>
    <t xml:space="preserve">2026Q1A</t>
  </si>
  <si>
    <t xml:space="preserve">2026E</t>
  </si>
  <si>
    <t xml:space="preserve">2027E</t>
  </si>
  <si>
    <t xml:space="preserve">2028E</t>
  </si>
  <si>
    <t xml:space="preserve">2026Q2E</t>
  </si>
  <si>
    <t xml:space="preserve">2026Q3E</t>
  </si>
  <si>
    <t xml:space="preserve">2026Q4E</t>
  </si>
  <si>
    <t xml:space="preserve">2027Q1E</t>
  </si>
  <si>
    <t xml:space="preserve">2027Q2E</t>
  </si>
  <si>
    <t xml:space="preserve">2027Q3E</t>
  </si>
  <si>
    <t xml:space="preserve">2027Q4E</t>
  </si>
  <si>
    <t xml:space="preserve">聚氨酯系列</t>
  </si>
  <si>
    <t xml:space="preserve">Volume growth</t>
  </si>
  <si>
    <t xml:space="preserve">Apparent ASP growth</t>
  </si>
  <si>
    <t xml:space="preserve">Raw-material share</t>
  </si>
  <si>
    <t xml:space="preserve">Non-raw cost inflation</t>
  </si>
  <si>
    <t xml:space="preserve">石化系列</t>
  </si>
  <si>
    <t xml:space="preserve">精细化学品及新材料系列</t>
  </si>
  <si>
    <t xml:space="preserve">Price assumptions</t>
  </si>
  <si>
    <t xml:space="preserve">Polymeric MDI market average (RMB/t; approx.)</t>
  </si>
  <si>
    <t xml:space="preserve">Pure benzene market average (RMB/t)</t>
  </si>
  <si>
    <t xml:space="preserve">Consolidated assumptions</t>
  </si>
  <si>
    <t xml:space="preserve">Other / eliminations revenue growth</t>
  </si>
  <si>
    <t xml:space="preserve">Net operating expense / revenue</t>
  </si>
  <si>
    <t xml:space="preserve">Operating profit to attributable NI conversion</t>
  </si>
  <si>
    <t xml:space="preserve">Capex / revenue</t>
  </si>
  <si>
    <t xml:space="preserve">Price Inputs</t>
  </si>
  <si>
    <t xml:space="preserve">Company-disclosed market averages; blanks preserve missing period disclosures.</t>
  </si>
  <si>
    <t xml:space="preserve">PMDI − 0.77 × benzene rough spread (RMB/t)</t>
  </si>
  <si>
    <t xml:space="preserve">Disclosure / formula boundary</t>
  </si>
  <si>
    <t xml:space="preserve">Template — populate from filing</t>
  </si>
  <si>
    <t xml:space="preserve">Forecast assumption passthrough</t>
  </si>
  <si>
    <t xml:space="preserve">Volume-Price</t>
  </si>
  <si>
    <t xml:space="preserve">Product-series revenue and volume from filings; apparent ASP uses revenue / disclosed volume.</t>
  </si>
  <si>
    <t xml:space="preserve">Disclosed sales volume (10kt; includes internal use)</t>
  </si>
  <si>
    <t xml:space="preserve">External sales volume (10kt; not disclosed)</t>
  </si>
  <si>
    <t xml:space="preserve">Reported product-series revenue</t>
  </si>
  <si>
    <t xml:space="preserve">Apparent ASP (RMB/t)</t>
  </si>
  <si>
    <t xml:space="preserve">Modelled revenue</t>
  </si>
  <si>
    <t xml:space="preserve">Cost Bridge</t>
  </si>
  <si>
    <t xml:space="preserve">Annual segment costs and raw-material shares are filing actuals; quarterly segment costs are intentionally blank.</t>
  </si>
  <si>
    <t xml:space="preserve">Disclosed sales volume (10kt)</t>
  </si>
  <si>
    <t xml:space="preserve">Reported product-series cost</t>
  </si>
  <si>
    <t xml:space="preserve">Unit cost proxy (RMB/t)</t>
  </si>
  <si>
    <t xml:space="preserve">Raw-material share of product-series cost</t>
  </si>
  <si>
    <t xml:space="preserve">Raw price index (2025A benzene = 1.00x)</t>
  </si>
  <si>
    <t xml:space="preserve">Non-raw cost index</t>
  </si>
  <si>
    <t xml:space="preserve">Forecast unit cost (RMB/t)</t>
  </si>
  <si>
    <t xml:space="preserve">Modelled product-series cost</t>
  </si>
  <si>
    <t xml:space="preserve">Segment P&amp;L</t>
  </si>
  <si>
    <t xml:space="preserve">Historical residuals reconcile disclosed product tables to consolidated statements; forecast residuals are formula-driven.</t>
  </si>
  <si>
    <t xml:space="preserve">Revenue</t>
  </si>
  <si>
    <t xml:space="preserve">Cost</t>
  </si>
  <si>
    <t xml:space="preserve">Gross profit</t>
  </si>
  <si>
    <t xml:space="preserve">Gross margin</t>
  </si>
  <si>
    <t xml:space="preserve">Other, eliminations and reconciliation</t>
  </si>
  <si>
    <t xml:space="preserve">Other / residual revenue — disclosed or modelled</t>
  </si>
  <si>
    <t xml:space="preserve">Other / residual cost — disclosed or modelled</t>
  </si>
  <si>
    <t xml:space="preserve">Eliminations revenue — disclosed</t>
  </si>
  <si>
    <t xml:space="preserve">Eliminations cost — disclosed</t>
  </si>
  <si>
    <t xml:space="preserve">Product-table subtotal — revenue</t>
  </si>
  <si>
    <t xml:space="preserve">Product-table subtotal — cost</t>
  </si>
  <si>
    <t xml:space="preserve">Boundary residual — revenue</t>
  </si>
  <si>
    <t xml:space="preserve">Boundary residual — cost</t>
  </si>
  <si>
    <t xml:space="preserve">Consolidated schedule revenue</t>
  </si>
  <si>
    <t xml:space="preserve">Consolidated schedule cost</t>
  </si>
  <si>
    <t xml:space="preserve">Consolidated schedule gross profit</t>
  </si>
  <si>
    <t xml:space="preserve">Consolidated schedule gross margin</t>
  </si>
  <si>
    <t xml:space="preserve">Consolidated P&amp;L</t>
  </si>
  <si>
    <t xml:space="preserve">Annual filing actuals and standalone quarterly filing actuals / arithmetic differences.</t>
  </si>
  <si>
    <t xml:space="preserve">Segment schedule revenue</t>
  </si>
  <si>
    <t xml:space="preserve">Consolidated revenue — filing actual / forecast</t>
  </si>
  <si>
    <t xml:space="preserve">Revenue bridge difference</t>
  </si>
  <si>
    <t xml:space="preserve">Segment schedule cost</t>
  </si>
  <si>
    <t xml:space="preserve">Consolidated cost of sales — filing actual / forecast</t>
  </si>
  <si>
    <t xml:space="preserve">Cost bridge difference</t>
  </si>
  <si>
    <t xml:space="preserve">Operating profit — filing actual / forecast</t>
  </si>
  <si>
    <t xml:space="preserve">Net operating expense / other bridge</t>
  </si>
  <si>
    <t xml:space="preserve">Attributable net income — filing actual / forecast</t>
  </si>
  <si>
    <t xml:space="preserve">Cash Flow</t>
  </si>
  <si>
    <t xml:space="preserve">Capex is cash paid to acquire/build fixed, intangible and other long-term assets.</t>
  </si>
  <si>
    <t xml:space="preserve">Operating cash flow (CFO)</t>
  </si>
  <si>
    <t xml:space="preserve">Capital expenditure — cash outflow</t>
  </si>
  <si>
    <t xml:space="preserve">Simplified free cash flow</t>
  </si>
  <si>
    <t xml:space="preserve">CFO / attributable net income</t>
  </si>
  <si>
    <t xml:space="preserve">Capex / consolidated revenue</t>
  </si>
  <si>
    <t xml:space="preserve">Spread Beta</t>
  </si>
  <si>
    <t xml:space="preserve">N&lt;8 comparable quarterly observations: proportional sensitivity only; no regression beta.</t>
  </si>
  <si>
    <t xml:space="preserve">Field</t>
  </si>
  <si>
    <t xml:space="preserve">Value</t>
  </si>
  <si>
    <t xml:space="preserve">Unit / interpretation</t>
  </si>
  <si>
    <t xml:space="preserve">Low</t>
  </si>
  <si>
    <t xml:space="preserve">Base</t>
  </si>
  <si>
    <t xml:space="preserve">High</t>
  </si>
  <si>
    <t xml:space="preserve">Source / note</t>
  </si>
  <si>
    <t xml:space="preserve">Status</t>
  </si>
  <si>
    <t xml:space="preserve">Selected method</t>
  </si>
  <si>
    <t xml:space="preserve">Pending company data</t>
  </si>
  <si>
    <t xml:space="preserve">text</t>
  </si>
  <si>
    <t xml:space="preserve">N&lt;8 quarterly observations; no regression.</t>
  </si>
  <si>
    <t xml:space="preserve">OK</t>
  </si>
  <si>
    <t xml:space="preserve">Comparable quarterly sample N</t>
  </si>
  <si>
    <t xml:space="preserve">quarters</t>
  </si>
  <si>
    <t xml:space="preserve">2024Q1/Q3, 2025Q1/Q3, 2026Q1 only.</t>
  </si>
  <si>
    <t xml:space="preserve">Regression eligibility</t>
  </si>
  <si>
    <t xml:space="preserve">No</t>
  </si>
  <si>
    <t xml:space="preserve">requires &gt;=8 quarters</t>
  </si>
  <si>
    <t xml:space="preserve">Gate enforced.</t>
  </si>
  <si>
    <t xml:space="preserve">Sensitivity factor</t>
  </si>
  <si>
    <t xml:space="preserve">benzene factor</t>
  </si>
  <si>
    <t xml:space="preserve">Model methodology assumption; not a filing fact.</t>
  </si>
  <si>
    <t xml:space="preserve">Historical data status</t>
  </si>
  <si>
    <t xml:space="preserve">Template</t>
  </si>
  <si>
    <t xml:space="preserve">period coverage</t>
  </si>
  <si>
    <t xml:space="preserve">Quarterly segment costs intentionally blank.</t>
  </si>
  <si>
    <t xml:space="preserve">Sources</t>
  </si>
  <si>
    <t xml:space="preserve">One row per hardcoded model cell; disclosure gaps are explicit and use Cell="-".</t>
  </si>
  <si>
    <t xml:space="preserve">Sheet</t>
  </si>
  <si>
    <t xml:space="preserve">Cell</t>
  </si>
  <si>
    <t xml:space="preserve">Status type</t>
  </si>
  <si>
    <t xml:space="preserve">Period</t>
  </si>
  <si>
    <t xml:space="preserve">Source / document</t>
  </si>
  <si>
    <t xml:space="preserve">Document date</t>
  </si>
  <si>
    <t xml:space="preserve">Page / reference</t>
  </si>
  <si>
    <t xml:space="preserve">URL</t>
  </si>
  <si>
    <t xml:space="preserve">Unit</t>
  </si>
  <si>
    <t xml:space="preserve">Boundary / methodology note</t>
  </si>
  <si>
    <t xml:space="preserve">Verified?</t>
  </si>
  <si>
    <t xml:space="preserve">All period sheets</t>
  </si>
  <si>
    <t xml:space="preserve">-</t>
  </si>
  <si>
    <t xml:space="preserve">Period layout standard</t>
  </si>
  <si>
    <t xml:space="preserve">Template standard</t>
  </si>
  <si>
    <t xml:space="preserve">2018A–2028E / 2024Q1A–2027Q4E</t>
  </si>
  <si>
    <t xml:space="preserve">references/templates/chem-model-template.md</t>
  </si>
  <si>
    <t xml:space="preserve">New period standard</t>
  </si>
  <si>
    <t xml:space="preserve">/Users/everflow/.openclaw/workspace-chem/references/templates/chem-model-template.md</t>
  </si>
  <si>
    <t xml:space="preserve">N/A</t>
  </si>
  <si>
    <t xml:space="preserve">Annual history 2018A–2025A; quarterly history 2024Q1A–2026Q1A; annual forecast 2026E–2028E; quarterly forecast 2026Q2E–2027Q4E.</t>
  </si>
  <si>
    <t xml:space="preserve">Yes</t>
  </si>
  <si>
    <t xml:space="preserve">Checks</t>
  </si>
  <si>
    <t xml:space="preserve">All checks must be OK after LibreOffice recalculation.</t>
  </si>
  <si>
    <t xml:space="preserve">Check</t>
  </si>
  <si>
    <t xml:space="preserve">Value / difference</t>
  </si>
  <si>
    <t xml:space="preserve">Tolerance</t>
  </si>
  <si>
    <t xml:space="preserve">Notes</t>
  </si>
  <si>
    <t xml:space="preserve">Last run</t>
  </si>
  <si>
    <t xml:space="preserve">Exact period header standard</t>
  </si>
  <si>
    <t xml:space="preserve">27 period columns across each period sheet.</t>
  </si>
  <si>
    <t xml:space="preserve">Revenue bridge</t>
  </si>
  <si>
    <t xml:space="preserve">Template check; populated company model activates filing-specific gate.</t>
  </si>
  <si>
    <t xml:space="preserve">Cost bridge</t>
  </si>
  <si>
    <t xml:space="preserve">Source coverage</t>
  </si>
  <si>
    <t xml:space="preserve">Spread method / quality</t>
  </si>
  <si>
    <t xml:space="preserve">Blank forecast assumptions gate — consolidated revenue</t>
  </si>
  <si>
    <t xml:space="preserve">When all forecast assumptions are blank, every annual and quarterly forecast revenue cell must remain blank.</t>
  </si>
  <si>
    <t xml:space="preserve">LibreOffice formula scan</t>
  </si>
  <si>
    <t xml:space="preserve">Headless recalculation and full-workbook scan: 0 formula errors across 1,844 formulas.</t>
  </si>
  <si>
    <t xml:space="preserve">2026-07-27 07:48:32 EDT | LibreOffice headless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</si>
</sst>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#,##0.0;\(#,##0.0\);\-"/>
    <numFmt numFmtId="168" formatCode="0.00\x"/>
  </numFmts>
  <fonts count="16">
    <font>
      <sz val="11"/>
      <color theme="1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 Unicode MS"/>
      <family val="2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 Unicode MS"/>
      <family val="2"/>
      <charset val="1"/>
    </font>
    <font>
      <sz val="10"/>
      <color rgb="FF0000FF"/>
      <name val="Arial Unicode M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17365D"/>
      </patternFill>
    </fill>
    <fill>
      <patternFill patternType="solid">
        <fgColor rgb="FF806000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9.11"/>
    <col collapsed="false" customWidth="true" hidden="false" outlineLevel="0" max="2" min="2" style="1" width="47.31"/>
    <col collapsed="false" customWidth="true" hidden="false" outlineLevel="0" max="28" min="3" style="1" width="11.8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1" customFormat="false" ht="15" hidden="false" customHeight="true" outlineLevel="0" collapsed="false">
      <c r="A11" s="5" t="s">
        <v>15</v>
      </c>
      <c r="B11" s="6" t="s">
        <v>16</v>
      </c>
    </row>
    <row r="12" customFormat="false" ht="15" hidden="false" customHeight="true" outlineLevel="0" collapsed="false">
      <c r="A12" s="5" t="s">
        <v>17</v>
      </c>
      <c r="B12" s="7" t="s">
        <v>18</v>
      </c>
    </row>
    <row r="13" customFormat="false" ht="15" hidden="false" customHeight="true" outlineLevel="0" collapsed="false">
      <c r="A13" s="5" t="s">
        <v>19</v>
      </c>
      <c r="B13" s="7" t="s">
        <v>20</v>
      </c>
    </row>
    <row r="15" customFormat="false" ht="15" hidden="false" customHeight="true" outlineLevel="0" collapsed="false">
      <c r="A15" s="4" t="s">
        <v>21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Format="false" ht="15" hidden="false" customHeight="true" outlineLevel="0" collapsed="false">
      <c r="A16" s="8" t="s">
        <v>22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customFormat="false" ht="15" hidden="false" customHeight="true" outlineLevel="0" collapsed="false">
      <c r="A17" s="8" t="s">
        <v>23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customFormat="false" ht="15" hidden="false" customHeight="true" outlineLevel="0" collapsed="false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customFormat="false" ht="15" hidden="false" customHeight="true" outlineLevel="0" collapsed="false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customFormat="false" ht="15" hidden="false" customHeight="true" outlineLevel="0" collapsed="false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2" customFormat="false" ht="15" hidden="false" customHeight="true" outlineLevel="0" collapsed="false">
      <c r="A22" s="4" t="s">
        <v>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Format="false" ht="15" hidden="false" customHeight="true" outlineLevel="0" collapsed="false">
      <c r="A23" s="5" t="s">
        <v>28</v>
      </c>
      <c r="B23" s="6" t="s">
        <v>29</v>
      </c>
    </row>
    <row r="24" customFormat="false" ht="15" hidden="false" customHeight="true" outlineLevel="0" collapsed="false">
      <c r="A24" s="5" t="s">
        <v>30</v>
      </c>
      <c r="B24" s="7" t="s">
        <v>29</v>
      </c>
    </row>
    <row r="25" customFormat="false" ht="15" hidden="false" customHeight="true" outlineLevel="0" collapsed="false">
      <c r="A25" s="5" t="s">
        <v>31</v>
      </c>
      <c r="B25" s="9" t="s">
        <v>29</v>
      </c>
    </row>
    <row r="26" customFormat="false" ht="15" hidden="false" customHeight="true" outlineLevel="0" collapsed="false">
      <c r="A26" s="5" t="s">
        <v>32</v>
      </c>
      <c r="B26" s="10" t="s">
        <v>29</v>
      </c>
    </row>
    <row r="27" customFormat="false" ht="15" hidden="false" customHeight="true" outlineLevel="0" collapsed="false">
      <c r="A27" s="5" t="s">
        <v>33</v>
      </c>
      <c r="B27" s="11" t="s">
        <v>29</v>
      </c>
    </row>
  </sheetData>
  <mergeCells count="10">
    <mergeCell ref="A1:AB1"/>
    <mergeCell ref="A2:AB2"/>
    <mergeCell ref="A4:AB4"/>
    <mergeCell ref="A15:AB15"/>
    <mergeCell ref="A16:AB16"/>
    <mergeCell ref="A17:AB17"/>
    <mergeCell ref="A18:AB18"/>
    <mergeCell ref="A19:AB19"/>
    <mergeCell ref="A20:AB20"/>
    <mergeCell ref="A22:A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2.76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6" t="s">
        <v>64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15" hidden="false" customHeight="true" outlineLevel="0" collapsed="false">
      <c r="A6" s="17" t="s">
        <v>65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customFormat="false" ht="15" hidden="false" customHeight="true" outlineLevel="0" collapsed="false">
      <c r="A7" s="17" t="s">
        <v>66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customFormat="false" ht="15" hidden="false" customHeight="true" outlineLevel="0" collapsed="false">
      <c r="A8" s="17" t="s">
        <v>67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customFormat="false" ht="15" hidden="false" customHeight="true" outlineLevel="0" collapsed="false">
      <c r="A9" s="17" t="s">
        <v>68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customFormat="false" ht="15" hidden="false" customHeight="true" outlineLevel="0" collapsed="false">
      <c r="A10" s="2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customFormat="false" ht="15" hidden="false" customHeight="true" outlineLevel="0" collapsed="false">
      <c r="A11" s="16" t="s">
        <v>69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15" hidden="false" customHeight="true" outlineLevel="0" collapsed="false">
      <c r="A12" s="17" t="s">
        <v>65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customFormat="false" ht="15" hidden="false" customHeight="true" outlineLevel="0" collapsed="false">
      <c r="A13" s="17" t="s">
        <v>66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customFormat="false" ht="15" hidden="false" customHeight="true" outlineLevel="0" collapsed="false">
      <c r="A14" s="17" t="s">
        <v>67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customFormat="false" ht="15" hidden="false" customHeight="true" outlineLevel="0" collapsed="false">
      <c r="A15" s="17" t="s">
        <v>68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customFormat="false" ht="15" hidden="false" customHeight="true" outlineLevel="0" collapsed="false">
      <c r="A16" s="2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customFormat="false" ht="15" hidden="false" customHeight="true" outlineLevel="0" collapsed="false">
      <c r="A17" s="16" t="s">
        <v>70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15" hidden="false" customHeight="true" outlineLevel="0" collapsed="false">
      <c r="A18" s="17" t="s">
        <v>65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customFormat="false" ht="15" hidden="false" customHeight="true" outlineLevel="0" collapsed="false">
      <c r="A19" s="17" t="s">
        <v>66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customFormat="false" ht="15" hidden="false" customHeight="true" outlineLevel="0" collapsed="false">
      <c r="A20" s="17" t="s">
        <v>67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customFormat="false" ht="15" hidden="false" customHeight="true" outlineLevel="0" collapsed="false">
      <c r="A21" s="17" t="s">
        <v>68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customFormat="false" ht="15" hidden="false" customHeight="true" outlineLevel="0" collapsed="false">
      <c r="A22" s="2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customFormat="false" ht="15" hidden="false" customHeight="true" outlineLevel="0" collapsed="false">
      <c r="A23" s="21" t="s">
        <v>71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customFormat="false" ht="15" hidden="false" customHeight="true" outlineLevel="0" collapsed="false">
      <c r="A24" s="17" t="s">
        <v>72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customFormat="false" ht="15" hidden="false" customHeight="true" outlineLevel="0" collapsed="false">
      <c r="A25" s="17" t="s">
        <v>73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customFormat="false" ht="15" hidden="false" customHeight="true" outlineLevel="0" collapsed="false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customFormat="false" ht="15" hidden="false" customHeight="true" outlineLevel="0" collapsed="false">
      <c r="A27" s="21" t="s">
        <v>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customFormat="false" ht="15" hidden="false" customHeight="true" outlineLevel="0" collapsed="false">
      <c r="A28" s="17" t="s">
        <v>75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customFormat="false" ht="15" hidden="false" customHeight="true" outlineLevel="0" collapsed="false">
      <c r="A29" s="17" t="s">
        <v>76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customFormat="false" ht="15" hidden="false" customHeight="true" outlineLevel="0" collapsed="false">
      <c r="A30" s="17" t="s">
        <v>77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customFormat="false" ht="15" hidden="false" customHeight="true" outlineLevel="0" collapsed="false">
      <c r="A31" s="17" t="s">
        <v>78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  <c r="AA31" s="19"/>
      <c r="AB31" s="19"/>
    </row>
  </sheetData>
  <mergeCells count="7">
    <mergeCell ref="A1:AB1"/>
    <mergeCell ref="A2:AB2"/>
    <mergeCell ref="A5:AB5"/>
    <mergeCell ref="A11:AB11"/>
    <mergeCell ref="A17:AB17"/>
    <mergeCell ref="A23:AB23"/>
    <mergeCell ref="A27:A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5.49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7" t="s">
        <v>72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3" t="str">
        <f aca="false">IF(Assumptions!S24="","",Assumptions!S24)</f>
        <v/>
      </c>
      <c r="T5" s="23" t="str">
        <f aca="false">IF(Assumptions!T24="","",Assumptions!T24)</f>
        <v/>
      </c>
      <c r="U5" s="23" t="str">
        <f aca="false">IF(Assumptions!U24="","",Assumptions!U24)</f>
        <v/>
      </c>
      <c r="V5" s="23" t="str">
        <f aca="false">IF(Assumptions!V24="","",Assumptions!V24)</f>
        <v/>
      </c>
      <c r="W5" s="23" t="str">
        <f aca="false">IF(Assumptions!W24="","",Assumptions!W24)</f>
        <v/>
      </c>
      <c r="X5" s="23" t="str">
        <f aca="false">IF(Assumptions!X24="","",Assumptions!X24)</f>
        <v/>
      </c>
      <c r="Y5" s="23" t="str">
        <f aca="false">IF(Assumptions!Y24="","",Assumptions!Y24)</f>
        <v/>
      </c>
      <c r="Z5" s="23" t="str">
        <f aca="false">IF(Assumptions!Z24="","",Assumptions!Z24)</f>
        <v/>
      </c>
      <c r="AA5" s="23" t="str">
        <f aca="false">IF(Assumptions!AA24="","",Assumptions!AA24)</f>
        <v/>
      </c>
      <c r="AB5" s="23" t="str">
        <f aca="false">IF(Assumptions!AB24="","",Assumptions!AB24)</f>
        <v/>
      </c>
    </row>
    <row r="6" customFormat="false" ht="15" hidden="false" customHeight="true" outlineLevel="0" collapsed="false">
      <c r="A6" s="17" t="s">
        <v>73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3" t="str">
        <f aca="false">IF(Assumptions!S25="","",Assumptions!S25)</f>
        <v/>
      </c>
      <c r="T6" s="23" t="str">
        <f aca="false">IF(Assumptions!T25="","",Assumptions!T25)</f>
        <v/>
      </c>
      <c r="U6" s="23" t="str">
        <f aca="false">IF(Assumptions!U25="","",Assumptions!U25)</f>
        <v/>
      </c>
      <c r="V6" s="23" t="str">
        <f aca="false">IF(Assumptions!V25="","",Assumptions!V25)</f>
        <v/>
      </c>
      <c r="W6" s="23" t="str">
        <f aca="false">IF(Assumptions!W25="","",Assumptions!W25)</f>
        <v/>
      </c>
      <c r="X6" s="23" t="str">
        <f aca="false">IF(Assumptions!X25="","",Assumptions!X25)</f>
        <v/>
      </c>
      <c r="Y6" s="23" t="str">
        <f aca="false">IF(Assumptions!Y25="","",Assumptions!Y25)</f>
        <v/>
      </c>
      <c r="Z6" s="23" t="str">
        <f aca="false">IF(Assumptions!Z25="","",Assumptions!Z25)</f>
        <v/>
      </c>
      <c r="AA6" s="23" t="str">
        <f aca="false">IF(Assumptions!AA25="","",Assumptions!AA25)</f>
        <v/>
      </c>
      <c r="AB6" s="23" t="str">
        <f aca="false">IF(Assumptions!AB25="","",Assumptions!AB25)</f>
        <v/>
      </c>
    </row>
    <row r="7" customFormat="false" ht="15" hidden="false" customHeight="true" outlineLevel="0" collapsed="false">
      <c r="A7" s="17" t="s">
        <v>81</v>
      </c>
      <c r="B7" s="24" t="str">
        <f aca="false">IF(OR(B5="",B6=""),"",B5-0.77*B6)</f>
        <v/>
      </c>
      <c r="C7" s="24" t="str">
        <f aca="false">IF(OR(C5="",C6=""),"",C5-0.77*C6)</f>
        <v/>
      </c>
      <c r="D7" s="24" t="str">
        <f aca="false">IF(OR(D5="",D6=""),"",D5-0.77*D6)</f>
        <v/>
      </c>
      <c r="E7" s="24" t="str">
        <f aca="false">IF(OR(E5="",E6=""),"",E5-0.77*E6)</f>
        <v/>
      </c>
      <c r="F7" s="24" t="str">
        <f aca="false">IF(OR(F5="",F6=""),"",F5-0.77*F6)</f>
        <v/>
      </c>
      <c r="G7" s="24" t="str">
        <f aca="false">IF(OR(G5="",G6=""),"",G5-0.77*G6)</f>
        <v/>
      </c>
      <c r="H7" s="24" t="str">
        <f aca="false">IF(OR(H5="",H6=""),"",H5-0.77*H6)</f>
        <v/>
      </c>
      <c r="I7" s="24" t="str">
        <f aca="false">IF(OR(I5="",I6=""),"",I5-0.77*I6)</f>
        <v/>
      </c>
      <c r="J7" s="24" t="str">
        <f aca="false">IF(OR(J5="",J6=""),"",J5-0.77*J6)</f>
        <v/>
      </c>
      <c r="K7" s="24" t="str">
        <f aca="false">IF(OR(K5="",K6=""),"",K5-0.77*K6)</f>
        <v/>
      </c>
      <c r="L7" s="24" t="str">
        <f aca="false">IF(OR(L5="",L6=""),"",L5-0.77*L6)</f>
        <v/>
      </c>
      <c r="M7" s="24" t="str">
        <f aca="false">IF(OR(M5="",M6=""),"",M5-0.77*M6)</f>
        <v/>
      </c>
      <c r="N7" s="24" t="str">
        <f aca="false">IF(OR(N5="",N6=""),"",N5-0.77*N6)</f>
        <v/>
      </c>
      <c r="O7" s="24" t="str">
        <f aca="false">IF(OR(O5="",O6=""),"",O5-0.77*O6)</f>
        <v/>
      </c>
      <c r="P7" s="24" t="str">
        <f aca="false">IF(OR(P5="",P6=""),"",P5-0.77*P6)</f>
        <v/>
      </c>
      <c r="Q7" s="24" t="str">
        <f aca="false">IF(OR(Q5="",Q6=""),"",Q5-0.77*Q6)</f>
        <v/>
      </c>
      <c r="R7" s="24" t="str">
        <f aca="false">IF(OR(R5="",R6=""),"",R5-0.77*R6)</f>
        <v/>
      </c>
      <c r="S7" s="24" t="str">
        <f aca="false">IF(OR(S5="",S6=""),"",S5-0.77*S6)</f>
        <v/>
      </c>
      <c r="T7" s="24" t="str">
        <f aca="false">IF(OR(T5="",T6=""),"",T5-0.77*T6)</f>
        <v/>
      </c>
      <c r="U7" s="24" t="str">
        <f aca="false">IF(OR(U5="",U6=""),"",U5-0.77*U6)</f>
        <v/>
      </c>
      <c r="V7" s="24" t="str">
        <f aca="false">IF(OR(V5="",V6=""),"",V5-0.77*V6)</f>
        <v/>
      </c>
      <c r="W7" s="24" t="str">
        <f aca="false">IF(OR(W5="",W6=""),"",W5-0.77*W6)</f>
        <v/>
      </c>
      <c r="X7" s="24" t="str">
        <f aca="false">IF(OR(X5="",X6=""),"",X5-0.77*X6)</f>
        <v/>
      </c>
      <c r="Y7" s="24" t="str">
        <f aca="false">IF(OR(Y5="",Y6=""),"",Y5-0.77*Y6)</f>
        <v/>
      </c>
      <c r="Z7" s="24" t="str">
        <f aca="false">IF(OR(Z5="",Z6=""),"",Z5-0.77*Z6)</f>
        <v/>
      </c>
      <c r="AA7" s="24" t="str">
        <f aca="false">IF(OR(AA5="",AA6=""),"",AA5-0.77*AA6)</f>
        <v/>
      </c>
      <c r="AB7" s="24" t="str">
        <f aca="false">IF(OR(AB5="",AB6=""),"",AB5-0.77*AB6)</f>
        <v/>
      </c>
    </row>
    <row r="8" customFormat="false" ht="15" hidden="false" customHeight="true" outlineLevel="0" collapsed="false">
      <c r="A8" s="17" t="s">
        <v>82</v>
      </c>
      <c r="B8" s="25" t="s">
        <v>83</v>
      </c>
      <c r="C8" s="25" t="s">
        <v>83</v>
      </c>
      <c r="D8" s="25" t="s">
        <v>83</v>
      </c>
      <c r="E8" s="25" t="s">
        <v>83</v>
      </c>
      <c r="F8" s="25" t="s">
        <v>83</v>
      </c>
      <c r="G8" s="25" t="s">
        <v>83</v>
      </c>
      <c r="H8" s="25" t="s">
        <v>83</v>
      </c>
      <c r="I8" s="25" t="s">
        <v>83</v>
      </c>
      <c r="J8" s="25" t="s">
        <v>83</v>
      </c>
      <c r="K8" s="25" t="s">
        <v>83</v>
      </c>
      <c r="L8" s="25" t="s">
        <v>83</v>
      </c>
      <c r="M8" s="25" t="s">
        <v>83</v>
      </c>
      <c r="N8" s="25" t="s">
        <v>83</v>
      </c>
      <c r="O8" s="25" t="s">
        <v>83</v>
      </c>
      <c r="P8" s="25" t="s">
        <v>83</v>
      </c>
      <c r="Q8" s="25" t="s">
        <v>83</v>
      </c>
      <c r="R8" s="25" t="s">
        <v>83</v>
      </c>
      <c r="S8" s="26" t="s">
        <v>84</v>
      </c>
      <c r="T8" s="26" t="s">
        <v>84</v>
      </c>
      <c r="U8" s="26" t="s">
        <v>84</v>
      </c>
      <c r="V8" s="26" t="s">
        <v>84</v>
      </c>
      <c r="W8" s="26" t="s">
        <v>84</v>
      </c>
      <c r="X8" s="26" t="s">
        <v>84</v>
      </c>
      <c r="Y8" s="26" t="s">
        <v>84</v>
      </c>
      <c r="Z8" s="26" t="s">
        <v>84</v>
      </c>
      <c r="AA8" s="26" t="s">
        <v>84</v>
      </c>
      <c r="AB8" s="26" t="s">
        <v>84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04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6" t="s">
        <v>64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15" hidden="false" customHeight="true" outlineLevel="0" collapsed="false">
      <c r="A6" s="17" t="s">
        <v>87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7" t="str">
        <f aca="false">IF(OR(I6="",S10=""),"",I6*(1+S10))</f>
        <v/>
      </c>
      <c r="T6" s="27" t="str">
        <f aca="false">IF(OR(S6="",T10=""),"",S6*(1+T10))</f>
        <v/>
      </c>
      <c r="U6" s="27" t="str">
        <f aca="false">IF(OR(T6="",U10=""),"",T6*(1+U10))</f>
        <v/>
      </c>
      <c r="V6" s="27" t="str">
        <f aca="false">IF(OR(R6="",V10=""),"",R6*(1+V10))</f>
        <v/>
      </c>
      <c r="W6" s="27" t="str">
        <f aca="false">IF(OR(V6="",W10=""),"",V6*(1+W10))</f>
        <v/>
      </c>
      <c r="X6" s="27" t="str">
        <f aca="false">IF(OR(W6="",X10=""),"",W6*(1+X10))</f>
        <v/>
      </c>
      <c r="Y6" s="27" t="str">
        <f aca="false">IF(OR(X6="",Y10=""),"",X6*(1+Y10))</f>
        <v/>
      </c>
      <c r="Z6" s="27" t="str">
        <f aca="false">IF(OR(Y6="",Z10=""),"",Y6*(1+Z10))</f>
        <v/>
      </c>
      <c r="AA6" s="27" t="str">
        <f aca="false">IF(OR(Z6="",AA10=""),"",Z6*(1+AA10))</f>
        <v/>
      </c>
      <c r="AB6" s="27" t="str">
        <f aca="false">IF(OR(AA6="",AB10=""),"",AA6*(1+AB10))</f>
        <v/>
      </c>
    </row>
    <row r="7" customFormat="false" ht="15" hidden="false" customHeight="true" outlineLevel="0" collapsed="false">
      <c r="A7" s="17" t="s">
        <v>88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customFormat="false" ht="15" hidden="false" customHeight="true" outlineLevel="0" collapsed="false">
      <c r="A8" s="17" t="s">
        <v>89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customFormat="false" ht="15" hidden="false" customHeight="true" outlineLevel="0" collapsed="false">
      <c r="A9" s="17" t="s">
        <v>90</v>
      </c>
      <c r="B9" s="24" t="str">
        <f aca="false">IFERROR(IF(OR(B6="",B6=0,B8=""),"",B8/B6*100),"")</f>
        <v/>
      </c>
      <c r="C9" s="24" t="str">
        <f aca="false">IFERROR(IF(OR(C6="",C6=0,C8=""),"",C8/C6*100),"")</f>
        <v/>
      </c>
      <c r="D9" s="24" t="str">
        <f aca="false">IFERROR(IF(OR(D6="",D6=0,D8=""),"",D8/D6*100),"")</f>
        <v/>
      </c>
      <c r="E9" s="24" t="str">
        <f aca="false">IFERROR(IF(OR(E6="",E6=0,E8=""),"",E8/E6*100),"")</f>
        <v/>
      </c>
      <c r="F9" s="24" t="str">
        <f aca="false">IFERROR(IF(OR(F6="",F6=0,F8=""),"",F8/F6*100),"")</f>
        <v/>
      </c>
      <c r="G9" s="24" t="str">
        <f aca="false">IFERROR(IF(OR(G6="",G6=0,G8=""),"",G8/G6*100),"")</f>
        <v/>
      </c>
      <c r="H9" s="24" t="str">
        <f aca="false">IFERROR(IF(OR(H6="",H6=0,H8=""),"",H8/H6*100),"")</f>
        <v/>
      </c>
      <c r="I9" s="24" t="str">
        <f aca="false">IFERROR(IF(OR(I6="",I6=0,I8=""),"",I8/I6*100),"")</f>
        <v/>
      </c>
      <c r="J9" s="24" t="str">
        <f aca="false">IFERROR(IF(OR(J6="",J6=0,J8=""),"",J8/J6*100),"")</f>
        <v/>
      </c>
      <c r="K9" s="24" t="str">
        <f aca="false">IFERROR(IF(OR(K6="",K6=0,K8=""),"",K8/K6*100),"")</f>
        <v/>
      </c>
      <c r="L9" s="24" t="str">
        <f aca="false">IFERROR(IF(OR(L6="",L6=0,L8=""),"",L8/L6*100),"")</f>
        <v/>
      </c>
      <c r="M9" s="24" t="str">
        <f aca="false">IFERROR(IF(OR(M6="",M6=0,M8=""),"",M8/M6*100),"")</f>
        <v/>
      </c>
      <c r="N9" s="24" t="str">
        <f aca="false">IFERROR(IF(OR(N6="",N6=0,N8=""),"",N8/N6*100),"")</f>
        <v/>
      </c>
      <c r="O9" s="24" t="str">
        <f aca="false">IFERROR(IF(OR(O6="",O6=0,O8=""),"",O8/O6*100),"")</f>
        <v/>
      </c>
      <c r="P9" s="24" t="str">
        <f aca="false">IFERROR(IF(OR(P6="",P6=0,P8=""),"",P8/P6*100),"")</f>
        <v/>
      </c>
      <c r="Q9" s="24" t="str">
        <f aca="false">IFERROR(IF(OR(Q6="",Q6=0,Q8=""),"",Q8/Q6*100),"")</f>
        <v/>
      </c>
      <c r="R9" s="24" t="str">
        <f aca="false">IFERROR(IF(OR(R6="",R6=0,R8=""),"",R8/R6*100),"")</f>
        <v/>
      </c>
      <c r="S9" s="24" t="str">
        <f aca="false">IF(OR(I9="",S11=""),"",I9*(1+S11))</f>
        <v/>
      </c>
      <c r="T9" s="24" t="str">
        <f aca="false">IF(OR(S9="",T11=""),"",S9*(1+T11))</f>
        <v/>
      </c>
      <c r="U9" s="24" t="str">
        <f aca="false">IF(OR(T9="",U11=""),"",T9*(1+U11))</f>
        <v/>
      </c>
      <c r="V9" s="24" t="str">
        <f aca="false">IF(OR(R9="",V11=""),"",R9*(1+V11))</f>
        <v/>
      </c>
      <c r="W9" s="24" t="str">
        <f aca="false">IF(OR(V9="",W11=""),"",V9*(1+W11))</f>
        <v/>
      </c>
      <c r="X9" s="24" t="str">
        <f aca="false">IF(OR(W9="",X11=""),"",W9*(1+X11))</f>
        <v/>
      </c>
      <c r="Y9" s="24" t="str">
        <f aca="false">IF(OR(X9="",Y11=""),"",X9*(1+Y11))</f>
        <v/>
      </c>
      <c r="Z9" s="24" t="str">
        <f aca="false">IF(OR(Y9="",Z11=""),"",Y9*(1+Z11))</f>
        <v/>
      </c>
      <c r="AA9" s="24" t="str">
        <f aca="false">IF(OR(Z9="",AA11=""),"",Z9*(1+AA11))</f>
        <v/>
      </c>
      <c r="AB9" s="24" t="str">
        <f aca="false">IF(OR(AA9="",AB11=""),"",AA9*(1+AB11))</f>
        <v/>
      </c>
    </row>
    <row r="10" customFormat="false" ht="15" hidden="false" customHeight="true" outlineLevel="0" collapsed="false">
      <c r="A10" s="17" t="s">
        <v>65</v>
      </c>
      <c r="B10" s="18"/>
      <c r="C10" s="28" t="str">
        <f aca="false">IFERROR(IF(OR(B6="",B6=0,C6=""),"",C6/B6-1),"")</f>
        <v/>
      </c>
      <c r="D10" s="28" t="str">
        <f aca="false">IFERROR(IF(OR(C6="",C6=0,D6=""),"",D6/C6-1),"")</f>
        <v/>
      </c>
      <c r="E10" s="28" t="str">
        <f aca="false">IFERROR(IF(OR(D6="",D6=0,E6=""),"",E6/D6-1),"")</f>
        <v/>
      </c>
      <c r="F10" s="28" t="str">
        <f aca="false">IFERROR(IF(OR(E6="",E6=0,F6=""),"",F6/E6-1),"")</f>
        <v/>
      </c>
      <c r="G10" s="28" t="str">
        <f aca="false">IFERROR(IF(OR(F6="",F6=0,G6=""),"",G6/F6-1),"")</f>
        <v/>
      </c>
      <c r="H10" s="28" t="str">
        <f aca="false">IFERROR(IF(OR(G6="",G6=0,H6=""),"",H6/G6-1),"")</f>
        <v/>
      </c>
      <c r="I10" s="28" t="str">
        <f aca="false">IFERROR(IF(OR(H6="",H6=0,I6=""),"",I6/H6-1),"")</f>
        <v/>
      </c>
      <c r="J10" s="18"/>
      <c r="K10" s="28" t="str">
        <f aca="false">IFERROR(IF(OR(J6="",J6=0,K6=""),"",K6/J6-1),"")</f>
        <v/>
      </c>
      <c r="L10" s="28" t="str">
        <f aca="false">IFERROR(IF(OR(K6="",K6=0,L6=""),"",L6/K6-1),"")</f>
        <v/>
      </c>
      <c r="M10" s="28" t="str">
        <f aca="false">IFERROR(IF(OR(L6="",L6=0,M6=""),"",M6/L6-1),"")</f>
        <v/>
      </c>
      <c r="N10" s="28" t="str">
        <f aca="false">IFERROR(IF(OR(M6="",M6=0,N6=""),"",N6/M6-1),"")</f>
        <v/>
      </c>
      <c r="O10" s="28" t="str">
        <f aca="false">IFERROR(IF(OR(N6="",N6=0,O6=""),"",O6/N6-1),"")</f>
        <v/>
      </c>
      <c r="P10" s="28" t="str">
        <f aca="false">IFERROR(IF(OR(O6="",O6=0,P6=""),"",P6/O6-1),"")</f>
        <v/>
      </c>
      <c r="Q10" s="28" t="str">
        <f aca="false">IFERROR(IF(OR(P6="",P6=0,Q6=""),"",Q6/P6-1),"")</f>
        <v/>
      </c>
      <c r="R10" s="28" t="str">
        <f aca="false">IFERROR(IF(OR(Q6="",Q6=0,R6=""),"",R6/Q6-1),"")</f>
        <v/>
      </c>
      <c r="S10" s="29" t="str">
        <f aca="false">IF(Assumptions!S6="","",Assumptions!S6)</f>
        <v/>
      </c>
      <c r="T10" s="29" t="str">
        <f aca="false">IF(Assumptions!T6="","",Assumptions!T6)</f>
        <v/>
      </c>
      <c r="U10" s="29" t="str">
        <f aca="false">IF(Assumptions!U6="","",Assumptions!U6)</f>
        <v/>
      </c>
      <c r="V10" s="29" t="str">
        <f aca="false">IF(Assumptions!V6="","",Assumptions!V6)</f>
        <v/>
      </c>
      <c r="W10" s="29" t="str">
        <f aca="false">IF(Assumptions!W6="","",Assumptions!W6)</f>
        <v/>
      </c>
      <c r="X10" s="29" t="str">
        <f aca="false">IF(Assumptions!X6="","",Assumptions!X6)</f>
        <v/>
      </c>
      <c r="Y10" s="29" t="str">
        <f aca="false">IF(Assumptions!Y6="","",Assumptions!Y6)</f>
        <v/>
      </c>
      <c r="Z10" s="29" t="str">
        <f aca="false">IF(Assumptions!Z6="","",Assumptions!Z6)</f>
        <v/>
      </c>
      <c r="AA10" s="29" t="str">
        <f aca="false">IF(Assumptions!AA6="","",Assumptions!AA6)</f>
        <v/>
      </c>
      <c r="AB10" s="29" t="str">
        <f aca="false">IF(Assumptions!AB6="","",Assumptions!AB6)</f>
        <v/>
      </c>
    </row>
    <row r="11" customFormat="false" ht="15" hidden="false" customHeight="true" outlineLevel="0" collapsed="false">
      <c r="A11" s="17" t="s">
        <v>66</v>
      </c>
      <c r="B11" s="18"/>
      <c r="C11" s="28" t="str">
        <f aca="false">IFERROR(IF(OR(B9="",B9=0,C9=""),"",C9/B9-1),"")</f>
        <v/>
      </c>
      <c r="D11" s="28" t="str">
        <f aca="false">IFERROR(IF(OR(C9="",C9=0,D9=""),"",D9/C9-1),"")</f>
        <v/>
      </c>
      <c r="E11" s="28" t="str">
        <f aca="false">IFERROR(IF(OR(D9="",D9=0,E9=""),"",E9/D9-1),"")</f>
        <v/>
      </c>
      <c r="F11" s="28" t="str">
        <f aca="false">IFERROR(IF(OR(E9="",E9=0,F9=""),"",F9/E9-1),"")</f>
        <v/>
      </c>
      <c r="G11" s="28" t="str">
        <f aca="false">IFERROR(IF(OR(F9="",F9=0,G9=""),"",G9/F9-1),"")</f>
        <v/>
      </c>
      <c r="H11" s="28" t="str">
        <f aca="false">IFERROR(IF(OR(G9="",G9=0,H9=""),"",H9/G9-1),"")</f>
        <v/>
      </c>
      <c r="I11" s="28" t="str">
        <f aca="false">IFERROR(IF(OR(H9="",H9=0,I9=""),"",I9/H9-1),"")</f>
        <v/>
      </c>
      <c r="J11" s="18"/>
      <c r="K11" s="28" t="str">
        <f aca="false">IFERROR(IF(OR(J9="",J9=0,K9=""),"",K9/J9-1),"")</f>
        <v/>
      </c>
      <c r="L11" s="28" t="str">
        <f aca="false">IFERROR(IF(OR(K9="",K9=0,L9=""),"",L9/K9-1),"")</f>
        <v/>
      </c>
      <c r="M11" s="28" t="str">
        <f aca="false">IFERROR(IF(OR(L9="",L9=0,M9=""),"",M9/L9-1),"")</f>
        <v/>
      </c>
      <c r="N11" s="28" t="str">
        <f aca="false">IFERROR(IF(OR(M9="",M9=0,N9=""),"",N9/M9-1),"")</f>
        <v/>
      </c>
      <c r="O11" s="28" t="str">
        <f aca="false">IFERROR(IF(OR(N9="",N9=0,O9=""),"",O9/N9-1),"")</f>
        <v/>
      </c>
      <c r="P11" s="28" t="str">
        <f aca="false">IFERROR(IF(OR(O9="",O9=0,P9=""),"",P9/O9-1),"")</f>
        <v/>
      </c>
      <c r="Q11" s="28" t="str">
        <f aca="false">IFERROR(IF(OR(P9="",P9=0,Q9=""),"",Q9/P9-1),"")</f>
        <v/>
      </c>
      <c r="R11" s="28" t="str">
        <f aca="false">IFERROR(IF(OR(Q9="",Q9=0,R9=""),"",R9/Q9-1),"")</f>
        <v/>
      </c>
      <c r="S11" s="29" t="str">
        <f aca="false">IF(Assumptions!S7="","",Assumptions!S7)</f>
        <v/>
      </c>
      <c r="T11" s="29" t="str">
        <f aca="false">IF(Assumptions!T7="","",Assumptions!T7)</f>
        <v/>
      </c>
      <c r="U11" s="29" t="str">
        <f aca="false">IF(Assumptions!U7="","",Assumptions!U7)</f>
        <v/>
      </c>
      <c r="V11" s="29" t="str">
        <f aca="false">IF(Assumptions!V7="","",Assumptions!V7)</f>
        <v/>
      </c>
      <c r="W11" s="29" t="str">
        <f aca="false">IF(Assumptions!W7="","",Assumptions!W7)</f>
        <v/>
      </c>
      <c r="X11" s="29" t="str">
        <f aca="false">IF(Assumptions!X7="","",Assumptions!X7)</f>
        <v/>
      </c>
      <c r="Y11" s="29" t="str">
        <f aca="false">IF(Assumptions!Y7="","",Assumptions!Y7)</f>
        <v/>
      </c>
      <c r="Z11" s="29" t="str">
        <f aca="false">IF(Assumptions!Z7="","",Assumptions!Z7)</f>
        <v/>
      </c>
      <c r="AA11" s="29" t="str">
        <f aca="false">IF(Assumptions!AA7="","",Assumptions!AA7)</f>
        <v/>
      </c>
      <c r="AB11" s="29" t="str">
        <f aca="false">IF(Assumptions!AB7="","",Assumptions!AB7)</f>
        <v/>
      </c>
    </row>
    <row r="12" customFormat="false" ht="15" hidden="false" customHeight="true" outlineLevel="0" collapsed="false">
      <c r="A12" s="17" t="s">
        <v>91</v>
      </c>
      <c r="B12" s="27" t="str">
        <f aca="false">IF(B8="","",B8)</f>
        <v/>
      </c>
      <c r="C12" s="27" t="str">
        <f aca="false">IF(C8="","",C8)</f>
        <v/>
      </c>
      <c r="D12" s="27" t="str">
        <f aca="false">IF(D8="","",D8)</f>
        <v/>
      </c>
      <c r="E12" s="27" t="str">
        <f aca="false">IF(E8="","",E8)</f>
        <v/>
      </c>
      <c r="F12" s="27" t="str">
        <f aca="false">IF(F8="","",F8)</f>
        <v/>
      </c>
      <c r="G12" s="27" t="str">
        <f aca="false">IF(G8="","",G8)</f>
        <v/>
      </c>
      <c r="H12" s="27" t="str">
        <f aca="false">IF(H8="","",H8)</f>
        <v/>
      </c>
      <c r="I12" s="27" t="str">
        <f aca="false">IF(I8="","",I8)</f>
        <v/>
      </c>
      <c r="J12" s="27" t="str">
        <f aca="false">IF(J8="","",J8)</f>
        <v/>
      </c>
      <c r="K12" s="27" t="str">
        <f aca="false">IF(K8="","",K8)</f>
        <v/>
      </c>
      <c r="L12" s="27" t="str">
        <f aca="false">IF(L8="","",L8)</f>
        <v/>
      </c>
      <c r="M12" s="27" t="str">
        <f aca="false">IF(M8="","",M8)</f>
        <v/>
      </c>
      <c r="N12" s="27" t="str">
        <f aca="false">IF(N8="","",N8)</f>
        <v/>
      </c>
      <c r="O12" s="27" t="str">
        <f aca="false">IF(O8="","",O8)</f>
        <v/>
      </c>
      <c r="P12" s="27" t="str">
        <f aca="false">IF(P8="","",P8)</f>
        <v/>
      </c>
      <c r="Q12" s="27" t="str">
        <f aca="false">IF(Q8="","",Q8)</f>
        <v/>
      </c>
      <c r="R12" s="27" t="str">
        <f aca="false">IF(R8="","",R8)</f>
        <v/>
      </c>
      <c r="S12" s="27" t="str">
        <f aca="false">IF(OR(S6="",S9=""),"",S6*S9/100)</f>
        <v/>
      </c>
      <c r="T12" s="27" t="str">
        <f aca="false">IF(OR(T6="",T9=""),"",T6*T9/100)</f>
        <v/>
      </c>
      <c r="U12" s="27" t="str">
        <f aca="false">IF(OR(U6="",U9=""),"",U6*U9/100)</f>
        <v/>
      </c>
      <c r="V12" s="27" t="str">
        <f aca="false">IF(OR(V6="",V9=""),"",V6*V9/100)</f>
        <v/>
      </c>
      <c r="W12" s="27" t="str">
        <f aca="false">IF(OR(W6="",W9=""),"",W6*W9/100)</f>
        <v/>
      </c>
      <c r="X12" s="27" t="str">
        <f aca="false">IF(OR(X6="",X9=""),"",X6*X9/100)</f>
        <v/>
      </c>
      <c r="Y12" s="27" t="str">
        <f aca="false">IF(OR(Y6="",Y9=""),"",Y6*Y9/100)</f>
        <v/>
      </c>
      <c r="Z12" s="27" t="str">
        <f aca="false">IF(OR(Z6="",Z9=""),"",Z6*Z9/100)</f>
        <v/>
      </c>
      <c r="AA12" s="27" t="str">
        <f aca="false">IF(OR(AA6="",AA9=""),"",AA6*AA9/100)</f>
        <v/>
      </c>
      <c r="AB12" s="27" t="str">
        <f aca="false">IF(OR(AB6="",AB9=""),"",AB6*AB9/100)</f>
        <v/>
      </c>
    </row>
    <row r="13" customFormat="false" ht="15" hidden="false" customHeight="true" outlineLevel="0" collapsed="false">
      <c r="A13" s="2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customFormat="false" ht="15" hidden="false" customHeight="true" outlineLevel="0" collapsed="false">
      <c r="A14" s="2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customFormat="false" ht="15" hidden="false" customHeight="true" outlineLevel="0" collapsed="false">
      <c r="A15" s="16" t="s">
        <v>69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15" hidden="false" customHeight="true" outlineLevel="0" collapsed="false">
      <c r="A16" s="17" t="s">
        <v>87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7" t="str">
        <f aca="false">IF(OR(I16="",S20=""),"",I16*(1+S20))</f>
        <v/>
      </c>
      <c r="T16" s="27" t="str">
        <f aca="false">IF(OR(S16="",T20=""),"",S16*(1+T20))</f>
        <v/>
      </c>
      <c r="U16" s="27" t="str">
        <f aca="false">IF(OR(T16="",U20=""),"",T16*(1+U20))</f>
        <v/>
      </c>
      <c r="V16" s="27" t="str">
        <f aca="false">IF(OR(R16="",V20=""),"",R16*(1+V20))</f>
        <v/>
      </c>
      <c r="W16" s="27" t="str">
        <f aca="false">IF(OR(V16="",W20=""),"",V16*(1+W20))</f>
        <v/>
      </c>
      <c r="X16" s="27" t="str">
        <f aca="false">IF(OR(W16="",X20=""),"",W16*(1+X20))</f>
        <v/>
      </c>
      <c r="Y16" s="27" t="str">
        <f aca="false">IF(OR(X16="",Y20=""),"",X16*(1+Y20))</f>
        <v/>
      </c>
      <c r="Z16" s="27" t="str">
        <f aca="false">IF(OR(Y16="",Z20=""),"",Y16*(1+Z20))</f>
        <v/>
      </c>
      <c r="AA16" s="27" t="str">
        <f aca="false">IF(OR(Z16="",AA20=""),"",Z16*(1+AA20))</f>
        <v/>
      </c>
      <c r="AB16" s="27" t="str">
        <f aca="false">IF(OR(AA16="",AB20=""),"",AA16*(1+AB20))</f>
        <v/>
      </c>
    </row>
    <row r="17" customFormat="false" ht="15" hidden="false" customHeight="true" outlineLevel="0" collapsed="false">
      <c r="A17" s="17" t="s">
        <v>88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customFormat="false" ht="15" hidden="false" customHeight="true" outlineLevel="0" collapsed="false">
      <c r="A18" s="17" t="s">
        <v>89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customFormat="false" ht="15" hidden="false" customHeight="true" outlineLevel="0" collapsed="false">
      <c r="A19" s="17" t="s">
        <v>90</v>
      </c>
      <c r="B19" s="24" t="str">
        <f aca="false">IFERROR(IF(OR(B16="",B16=0,B18=""),"",B18/B16*100),"")</f>
        <v/>
      </c>
      <c r="C19" s="24" t="str">
        <f aca="false">IFERROR(IF(OR(C16="",C16=0,C18=""),"",C18/C16*100),"")</f>
        <v/>
      </c>
      <c r="D19" s="24" t="str">
        <f aca="false">IFERROR(IF(OR(D16="",D16=0,D18=""),"",D18/D16*100),"")</f>
        <v/>
      </c>
      <c r="E19" s="24" t="str">
        <f aca="false">IFERROR(IF(OR(E16="",E16=0,E18=""),"",E18/E16*100),"")</f>
        <v/>
      </c>
      <c r="F19" s="24" t="str">
        <f aca="false">IFERROR(IF(OR(F16="",F16=0,F18=""),"",F18/F16*100),"")</f>
        <v/>
      </c>
      <c r="G19" s="24" t="str">
        <f aca="false">IFERROR(IF(OR(G16="",G16=0,G18=""),"",G18/G16*100),"")</f>
        <v/>
      </c>
      <c r="H19" s="24" t="str">
        <f aca="false">IFERROR(IF(OR(H16="",H16=0,H18=""),"",H18/H16*100),"")</f>
        <v/>
      </c>
      <c r="I19" s="24" t="str">
        <f aca="false">IFERROR(IF(OR(I16="",I16=0,I18=""),"",I18/I16*100),"")</f>
        <v/>
      </c>
      <c r="J19" s="24" t="str">
        <f aca="false">IFERROR(IF(OR(J16="",J16=0,J18=""),"",J18/J16*100),"")</f>
        <v/>
      </c>
      <c r="K19" s="24" t="str">
        <f aca="false">IFERROR(IF(OR(K16="",K16=0,K18=""),"",K18/K16*100),"")</f>
        <v/>
      </c>
      <c r="L19" s="24" t="str">
        <f aca="false">IFERROR(IF(OR(L16="",L16=0,L18=""),"",L18/L16*100),"")</f>
        <v/>
      </c>
      <c r="M19" s="24" t="str">
        <f aca="false">IFERROR(IF(OR(M16="",M16=0,M18=""),"",M18/M16*100),"")</f>
        <v/>
      </c>
      <c r="N19" s="24" t="str">
        <f aca="false">IFERROR(IF(OR(N16="",N16=0,N18=""),"",N18/N16*100),"")</f>
        <v/>
      </c>
      <c r="O19" s="24" t="str">
        <f aca="false">IFERROR(IF(OR(O16="",O16=0,O18=""),"",O18/O16*100),"")</f>
        <v/>
      </c>
      <c r="P19" s="24" t="str">
        <f aca="false">IFERROR(IF(OR(P16="",P16=0,P18=""),"",P18/P16*100),"")</f>
        <v/>
      </c>
      <c r="Q19" s="24" t="str">
        <f aca="false">IFERROR(IF(OR(Q16="",Q16=0,Q18=""),"",Q18/Q16*100),"")</f>
        <v/>
      </c>
      <c r="R19" s="24" t="str">
        <f aca="false">IFERROR(IF(OR(R16="",R16=0,R18=""),"",R18/R16*100),"")</f>
        <v/>
      </c>
      <c r="S19" s="24" t="str">
        <f aca="false">IF(OR(I19="",S21=""),"",I19*(1+S21))</f>
        <v/>
      </c>
      <c r="T19" s="24" t="str">
        <f aca="false">IF(OR(S19="",T21=""),"",S19*(1+T21))</f>
        <v/>
      </c>
      <c r="U19" s="24" t="str">
        <f aca="false">IF(OR(T19="",U21=""),"",T19*(1+U21))</f>
        <v/>
      </c>
      <c r="V19" s="24" t="str">
        <f aca="false">IF(OR(R19="",V21=""),"",R19*(1+V21))</f>
        <v/>
      </c>
      <c r="W19" s="24" t="str">
        <f aca="false">IF(OR(V19="",W21=""),"",V19*(1+W21))</f>
        <v/>
      </c>
      <c r="X19" s="24" t="str">
        <f aca="false">IF(OR(W19="",X21=""),"",W19*(1+X21))</f>
        <v/>
      </c>
      <c r="Y19" s="24" t="str">
        <f aca="false">IF(OR(X19="",Y21=""),"",X19*(1+Y21))</f>
        <v/>
      </c>
      <c r="Z19" s="24" t="str">
        <f aca="false">IF(OR(Y19="",Z21=""),"",Y19*(1+Z21))</f>
        <v/>
      </c>
      <c r="AA19" s="24" t="str">
        <f aca="false">IF(OR(Z19="",AA21=""),"",Z19*(1+AA21))</f>
        <v/>
      </c>
      <c r="AB19" s="24" t="str">
        <f aca="false">IF(OR(AA19="",AB21=""),"",AA19*(1+AB21))</f>
        <v/>
      </c>
    </row>
    <row r="20" customFormat="false" ht="15" hidden="false" customHeight="true" outlineLevel="0" collapsed="false">
      <c r="A20" s="17" t="s">
        <v>65</v>
      </c>
      <c r="B20" s="18"/>
      <c r="C20" s="28" t="str">
        <f aca="false">IFERROR(IF(OR(B16="",B16=0,C16=""),"",C16/B16-1),"")</f>
        <v/>
      </c>
      <c r="D20" s="28" t="str">
        <f aca="false">IFERROR(IF(OR(C16="",C16=0,D16=""),"",D16/C16-1),"")</f>
        <v/>
      </c>
      <c r="E20" s="28" t="str">
        <f aca="false">IFERROR(IF(OR(D16="",D16=0,E16=""),"",E16/D16-1),"")</f>
        <v/>
      </c>
      <c r="F20" s="28" t="str">
        <f aca="false">IFERROR(IF(OR(E16="",E16=0,F16=""),"",F16/E16-1),"")</f>
        <v/>
      </c>
      <c r="G20" s="28" t="str">
        <f aca="false">IFERROR(IF(OR(F16="",F16=0,G16=""),"",G16/F16-1),"")</f>
        <v/>
      </c>
      <c r="H20" s="28" t="str">
        <f aca="false">IFERROR(IF(OR(G16="",G16=0,H16=""),"",H16/G16-1),"")</f>
        <v/>
      </c>
      <c r="I20" s="28" t="str">
        <f aca="false">IFERROR(IF(OR(H16="",H16=0,I16=""),"",I16/H16-1),"")</f>
        <v/>
      </c>
      <c r="J20" s="18"/>
      <c r="K20" s="28" t="str">
        <f aca="false">IFERROR(IF(OR(J16="",J16=0,K16=""),"",K16/J16-1),"")</f>
        <v/>
      </c>
      <c r="L20" s="28" t="str">
        <f aca="false">IFERROR(IF(OR(K16="",K16=0,L16=""),"",L16/K16-1),"")</f>
        <v/>
      </c>
      <c r="M20" s="28" t="str">
        <f aca="false">IFERROR(IF(OR(L16="",L16=0,M16=""),"",M16/L16-1),"")</f>
        <v/>
      </c>
      <c r="N20" s="28" t="str">
        <f aca="false">IFERROR(IF(OR(M16="",M16=0,N16=""),"",N16/M16-1),"")</f>
        <v/>
      </c>
      <c r="O20" s="28" t="str">
        <f aca="false">IFERROR(IF(OR(N16="",N16=0,O16=""),"",O16/N16-1),"")</f>
        <v/>
      </c>
      <c r="P20" s="28" t="str">
        <f aca="false">IFERROR(IF(OR(O16="",O16=0,P16=""),"",P16/O16-1),"")</f>
        <v/>
      </c>
      <c r="Q20" s="28" t="str">
        <f aca="false">IFERROR(IF(OR(P16="",P16=0,Q16=""),"",Q16/P16-1),"")</f>
        <v/>
      </c>
      <c r="R20" s="28" t="str">
        <f aca="false">IFERROR(IF(OR(Q16="",Q16=0,R16=""),"",R16/Q16-1),"")</f>
        <v/>
      </c>
      <c r="S20" s="29" t="str">
        <f aca="false">IF(Assumptions!S12="","",Assumptions!S12)</f>
        <v/>
      </c>
      <c r="T20" s="29" t="str">
        <f aca="false">IF(Assumptions!T12="","",Assumptions!T12)</f>
        <v/>
      </c>
      <c r="U20" s="29" t="str">
        <f aca="false">IF(Assumptions!U12="","",Assumptions!U12)</f>
        <v/>
      </c>
      <c r="V20" s="29" t="str">
        <f aca="false">IF(Assumptions!V12="","",Assumptions!V12)</f>
        <v/>
      </c>
      <c r="W20" s="29" t="str">
        <f aca="false">IF(Assumptions!W12="","",Assumptions!W12)</f>
        <v/>
      </c>
      <c r="X20" s="29" t="str">
        <f aca="false">IF(Assumptions!X12="","",Assumptions!X12)</f>
        <v/>
      </c>
      <c r="Y20" s="29" t="str">
        <f aca="false">IF(Assumptions!Y12="","",Assumptions!Y12)</f>
        <v/>
      </c>
      <c r="Z20" s="29" t="str">
        <f aca="false">IF(Assumptions!Z12="","",Assumptions!Z12)</f>
        <v/>
      </c>
      <c r="AA20" s="29" t="str">
        <f aca="false">IF(Assumptions!AA12="","",Assumptions!AA12)</f>
        <v/>
      </c>
      <c r="AB20" s="29" t="str">
        <f aca="false">IF(Assumptions!AB12="","",Assumptions!AB12)</f>
        <v/>
      </c>
    </row>
    <row r="21" customFormat="false" ht="15" hidden="false" customHeight="true" outlineLevel="0" collapsed="false">
      <c r="A21" s="17" t="s">
        <v>66</v>
      </c>
      <c r="B21" s="18"/>
      <c r="C21" s="28" t="str">
        <f aca="false">IFERROR(IF(OR(B19="",B19=0,C19=""),"",C19/B19-1),"")</f>
        <v/>
      </c>
      <c r="D21" s="28" t="str">
        <f aca="false">IFERROR(IF(OR(C19="",C19=0,D19=""),"",D19/C19-1),"")</f>
        <v/>
      </c>
      <c r="E21" s="28" t="str">
        <f aca="false">IFERROR(IF(OR(D19="",D19=0,E19=""),"",E19/D19-1),"")</f>
        <v/>
      </c>
      <c r="F21" s="28" t="str">
        <f aca="false">IFERROR(IF(OR(E19="",E19=0,F19=""),"",F19/E19-1),"")</f>
        <v/>
      </c>
      <c r="G21" s="28" t="str">
        <f aca="false">IFERROR(IF(OR(F19="",F19=0,G19=""),"",G19/F19-1),"")</f>
        <v/>
      </c>
      <c r="H21" s="28" t="str">
        <f aca="false">IFERROR(IF(OR(G19="",G19=0,H19=""),"",H19/G19-1),"")</f>
        <v/>
      </c>
      <c r="I21" s="28" t="str">
        <f aca="false">IFERROR(IF(OR(H19="",H19=0,I19=""),"",I19/H19-1),"")</f>
        <v/>
      </c>
      <c r="J21" s="18"/>
      <c r="K21" s="28" t="str">
        <f aca="false">IFERROR(IF(OR(J19="",J19=0,K19=""),"",K19/J19-1),"")</f>
        <v/>
      </c>
      <c r="L21" s="28" t="str">
        <f aca="false">IFERROR(IF(OR(K19="",K19=0,L19=""),"",L19/K19-1),"")</f>
        <v/>
      </c>
      <c r="M21" s="28" t="str">
        <f aca="false">IFERROR(IF(OR(L19="",L19=0,M19=""),"",M19/L19-1),"")</f>
        <v/>
      </c>
      <c r="N21" s="28" t="str">
        <f aca="false">IFERROR(IF(OR(M19="",M19=0,N19=""),"",N19/M19-1),"")</f>
        <v/>
      </c>
      <c r="O21" s="28" t="str">
        <f aca="false">IFERROR(IF(OR(N19="",N19=0,O19=""),"",O19/N19-1),"")</f>
        <v/>
      </c>
      <c r="P21" s="28" t="str">
        <f aca="false">IFERROR(IF(OR(O19="",O19=0,P19=""),"",P19/O19-1),"")</f>
        <v/>
      </c>
      <c r="Q21" s="28" t="str">
        <f aca="false">IFERROR(IF(OR(P19="",P19=0,Q19=""),"",Q19/P19-1),"")</f>
        <v/>
      </c>
      <c r="R21" s="28" t="str">
        <f aca="false">IFERROR(IF(OR(Q19="",Q19=0,R19=""),"",R19/Q19-1),"")</f>
        <v/>
      </c>
      <c r="S21" s="29" t="str">
        <f aca="false">IF(Assumptions!S13="","",Assumptions!S13)</f>
        <v/>
      </c>
      <c r="T21" s="29" t="str">
        <f aca="false">IF(Assumptions!T13="","",Assumptions!T13)</f>
        <v/>
      </c>
      <c r="U21" s="29" t="str">
        <f aca="false">IF(Assumptions!U13="","",Assumptions!U13)</f>
        <v/>
      </c>
      <c r="V21" s="29" t="str">
        <f aca="false">IF(Assumptions!V13="","",Assumptions!V13)</f>
        <v/>
      </c>
      <c r="W21" s="29" t="str">
        <f aca="false">IF(Assumptions!W13="","",Assumptions!W13)</f>
        <v/>
      </c>
      <c r="X21" s="29" t="str">
        <f aca="false">IF(Assumptions!X13="","",Assumptions!X13)</f>
        <v/>
      </c>
      <c r="Y21" s="29" t="str">
        <f aca="false">IF(Assumptions!Y13="","",Assumptions!Y13)</f>
        <v/>
      </c>
      <c r="Z21" s="29" t="str">
        <f aca="false">IF(Assumptions!Z13="","",Assumptions!Z13)</f>
        <v/>
      </c>
      <c r="AA21" s="29" t="str">
        <f aca="false">IF(Assumptions!AA13="","",Assumptions!AA13)</f>
        <v/>
      </c>
      <c r="AB21" s="29" t="str">
        <f aca="false">IF(Assumptions!AB13="","",Assumptions!AB13)</f>
        <v/>
      </c>
    </row>
    <row r="22" customFormat="false" ht="15" hidden="false" customHeight="true" outlineLevel="0" collapsed="false">
      <c r="A22" s="17" t="s">
        <v>91</v>
      </c>
      <c r="B22" s="27" t="str">
        <f aca="false">IF(B18="","",B18)</f>
        <v/>
      </c>
      <c r="C22" s="27" t="str">
        <f aca="false">IF(C18="","",C18)</f>
        <v/>
      </c>
      <c r="D22" s="27" t="str">
        <f aca="false">IF(D18="","",D18)</f>
        <v/>
      </c>
      <c r="E22" s="27" t="str">
        <f aca="false">IF(E18="","",E18)</f>
        <v/>
      </c>
      <c r="F22" s="27" t="str">
        <f aca="false">IF(F18="","",F18)</f>
        <v/>
      </c>
      <c r="G22" s="27" t="str">
        <f aca="false">IF(G18="","",G18)</f>
        <v/>
      </c>
      <c r="H22" s="27" t="str">
        <f aca="false">IF(H18="","",H18)</f>
        <v/>
      </c>
      <c r="I22" s="27" t="str">
        <f aca="false">IF(I18="","",I18)</f>
        <v/>
      </c>
      <c r="J22" s="27" t="str">
        <f aca="false">IF(J18="","",J18)</f>
        <v/>
      </c>
      <c r="K22" s="27" t="str">
        <f aca="false">IF(K18="","",K18)</f>
        <v/>
      </c>
      <c r="L22" s="27" t="str">
        <f aca="false">IF(L18="","",L18)</f>
        <v/>
      </c>
      <c r="M22" s="27" t="str">
        <f aca="false">IF(M18="","",M18)</f>
        <v/>
      </c>
      <c r="N22" s="27" t="str">
        <f aca="false">IF(N18="","",N18)</f>
        <v/>
      </c>
      <c r="O22" s="27" t="str">
        <f aca="false">IF(O18="","",O18)</f>
        <v/>
      </c>
      <c r="P22" s="27" t="str">
        <f aca="false">IF(P18="","",P18)</f>
        <v/>
      </c>
      <c r="Q22" s="27" t="str">
        <f aca="false">IF(Q18="","",Q18)</f>
        <v/>
      </c>
      <c r="R22" s="27" t="str">
        <f aca="false">IF(R18="","",R18)</f>
        <v/>
      </c>
      <c r="S22" s="27" t="str">
        <f aca="false">IF(OR(S16="",S19=""),"",S16*S19/100)</f>
        <v/>
      </c>
      <c r="T22" s="27" t="str">
        <f aca="false">IF(OR(T16="",T19=""),"",T16*T19/100)</f>
        <v/>
      </c>
      <c r="U22" s="27" t="str">
        <f aca="false">IF(OR(U16="",U19=""),"",U16*U19/100)</f>
        <v/>
      </c>
      <c r="V22" s="27" t="str">
        <f aca="false">IF(OR(V16="",V19=""),"",V16*V19/100)</f>
        <v/>
      </c>
      <c r="W22" s="27" t="str">
        <f aca="false">IF(OR(W16="",W19=""),"",W16*W19/100)</f>
        <v/>
      </c>
      <c r="X22" s="27" t="str">
        <f aca="false">IF(OR(X16="",X19=""),"",X16*X19/100)</f>
        <v/>
      </c>
      <c r="Y22" s="27" t="str">
        <f aca="false">IF(OR(Y16="",Y19=""),"",Y16*Y19/100)</f>
        <v/>
      </c>
      <c r="Z22" s="27" t="str">
        <f aca="false">IF(OR(Z16="",Z19=""),"",Z16*Z19/100)</f>
        <v/>
      </c>
      <c r="AA22" s="27" t="str">
        <f aca="false">IF(OR(AA16="",AA19=""),"",AA16*AA19/100)</f>
        <v/>
      </c>
      <c r="AB22" s="27" t="str">
        <f aca="false">IF(OR(AB16="",AB19=""),"",AB16*AB19/100)</f>
        <v/>
      </c>
    </row>
    <row r="23" customFormat="false" ht="15" hidden="false" customHeight="true" outlineLevel="0" collapsed="false">
      <c r="A23" s="2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customFormat="false" ht="15" hidden="false" customHeight="true" outlineLevel="0" collapsed="false">
      <c r="A24" s="2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customFormat="false" ht="15" hidden="false" customHeight="true" outlineLevel="0" collapsed="false">
      <c r="A25" s="16" t="s">
        <v>70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customFormat="false" ht="15" hidden="false" customHeight="true" outlineLevel="0" collapsed="false">
      <c r="A26" s="17" t="s">
        <v>87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7" t="str">
        <f aca="false">IF(OR(I26="",S30=""),"",I26*(1+S30))</f>
        <v/>
      </c>
      <c r="T26" s="27" t="str">
        <f aca="false">IF(OR(S26="",T30=""),"",S26*(1+T30))</f>
        <v/>
      </c>
      <c r="U26" s="27" t="str">
        <f aca="false">IF(OR(T26="",U30=""),"",T26*(1+U30))</f>
        <v/>
      </c>
      <c r="V26" s="27" t="str">
        <f aca="false">IF(OR(R26="",V30=""),"",R26*(1+V30))</f>
        <v/>
      </c>
      <c r="W26" s="27" t="str">
        <f aca="false">IF(OR(V26="",W30=""),"",V26*(1+W30))</f>
        <v/>
      </c>
      <c r="X26" s="27" t="str">
        <f aca="false">IF(OR(W26="",X30=""),"",W26*(1+X30))</f>
        <v/>
      </c>
      <c r="Y26" s="27" t="str">
        <f aca="false">IF(OR(X26="",Y30=""),"",X26*(1+Y30))</f>
        <v/>
      </c>
      <c r="Z26" s="27" t="str">
        <f aca="false">IF(OR(Y26="",Z30=""),"",Y26*(1+Z30))</f>
        <v/>
      </c>
      <c r="AA26" s="27" t="str">
        <f aca="false">IF(OR(Z26="",AA30=""),"",Z26*(1+AA30))</f>
        <v/>
      </c>
      <c r="AB26" s="27" t="str">
        <f aca="false">IF(OR(AA26="",AB30=""),"",AA26*(1+AB30))</f>
        <v/>
      </c>
    </row>
    <row r="27" customFormat="false" ht="15" hidden="false" customHeight="true" outlineLevel="0" collapsed="false">
      <c r="A27" s="17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customFormat="false" ht="15" hidden="false" customHeight="true" outlineLevel="0" collapsed="false">
      <c r="A28" s="17" t="s">
        <v>89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customFormat="false" ht="15" hidden="false" customHeight="true" outlineLevel="0" collapsed="false">
      <c r="A29" s="17" t="s">
        <v>90</v>
      </c>
      <c r="B29" s="24" t="str">
        <f aca="false">IFERROR(IF(OR(B26="",B26=0,B28=""),"",B28/B26*100),"")</f>
        <v/>
      </c>
      <c r="C29" s="24" t="str">
        <f aca="false">IFERROR(IF(OR(C26="",C26=0,C28=""),"",C28/C26*100),"")</f>
        <v/>
      </c>
      <c r="D29" s="24" t="str">
        <f aca="false">IFERROR(IF(OR(D26="",D26=0,D28=""),"",D28/D26*100),"")</f>
        <v/>
      </c>
      <c r="E29" s="24" t="str">
        <f aca="false">IFERROR(IF(OR(E26="",E26=0,E28=""),"",E28/E26*100),"")</f>
        <v/>
      </c>
      <c r="F29" s="24" t="str">
        <f aca="false">IFERROR(IF(OR(F26="",F26=0,F28=""),"",F28/F26*100),"")</f>
        <v/>
      </c>
      <c r="G29" s="24" t="str">
        <f aca="false">IFERROR(IF(OR(G26="",G26=0,G28=""),"",G28/G26*100),"")</f>
        <v/>
      </c>
      <c r="H29" s="24" t="str">
        <f aca="false">IFERROR(IF(OR(H26="",H26=0,H28=""),"",H28/H26*100),"")</f>
        <v/>
      </c>
      <c r="I29" s="24" t="str">
        <f aca="false">IFERROR(IF(OR(I26="",I26=0,I28=""),"",I28/I26*100),"")</f>
        <v/>
      </c>
      <c r="J29" s="24" t="str">
        <f aca="false">IFERROR(IF(OR(J26="",J26=0,J28=""),"",J28/J26*100),"")</f>
        <v/>
      </c>
      <c r="K29" s="24" t="str">
        <f aca="false">IFERROR(IF(OR(K26="",K26=0,K28=""),"",K28/K26*100),"")</f>
        <v/>
      </c>
      <c r="L29" s="24" t="str">
        <f aca="false">IFERROR(IF(OR(L26="",L26=0,L28=""),"",L28/L26*100),"")</f>
        <v/>
      </c>
      <c r="M29" s="24" t="str">
        <f aca="false">IFERROR(IF(OR(M26="",M26=0,M28=""),"",M28/M26*100),"")</f>
        <v/>
      </c>
      <c r="N29" s="24" t="str">
        <f aca="false">IFERROR(IF(OR(N26="",N26=0,N28=""),"",N28/N26*100),"")</f>
        <v/>
      </c>
      <c r="O29" s="24" t="str">
        <f aca="false">IFERROR(IF(OR(O26="",O26=0,O28=""),"",O28/O26*100),"")</f>
        <v/>
      </c>
      <c r="P29" s="24" t="str">
        <f aca="false">IFERROR(IF(OR(P26="",P26=0,P28=""),"",P28/P26*100),"")</f>
        <v/>
      </c>
      <c r="Q29" s="24" t="str">
        <f aca="false">IFERROR(IF(OR(Q26="",Q26=0,Q28=""),"",Q28/Q26*100),"")</f>
        <v/>
      </c>
      <c r="R29" s="24" t="str">
        <f aca="false">IFERROR(IF(OR(R26="",R26=0,R28=""),"",R28/R26*100),"")</f>
        <v/>
      </c>
      <c r="S29" s="24" t="str">
        <f aca="false">IF(OR(I29="",S31=""),"",I29*(1+S31))</f>
        <v/>
      </c>
      <c r="T29" s="24" t="str">
        <f aca="false">IF(OR(S29="",T31=""),"",S29*(1+T31))</f>
        <v/>
      </c>
      <c r="U29" s="24" t="str">
        <f aca="false">IF(OR(T29="",U31=""),"",T29*(1+U31))</f>
        <v/>
      </c>
      <c r="V29" s="24" t="str">
        <f aca="false">IF(OR(R29="",V31=""),"",R29*(1+V31))</f>
        <v/>
      </c>
      <c r="W29" s="24" t="str">
        <f aca="false">IF(OR(V29="",W31=""),"",V29*(1+W31))</f>
        <v/>
      </c>
      <c r="X29" s="24" t="str">
        <f aca="false">IF(OR(W29="",X31=""),"",W29*(1+X31))</f>
        <v/>
      </c>
      <c r="Y29" s="24" t="str">
        <f aca="false">IF(OR(X29="",Y31=""),"",X29*(1+Y31))</f>
        <v/>
      </c>
      <c r="Z29" s="24" t="str">
        <f aca="false">IF(OR(Y29="",Z31=""),"",Y29*(1+Z31))</f>
        <v/>
      </c>
      <c r="AA29" s="24" t="str">
        <f aca="false">IF(OR(Z29="",AA31=""),"",Z29*(1+AA31))</f>
        <v/>
      </c>
      <c r="AB29" s="24" t="str">
        <f aca="false">IF(OR(AA29="",AB31=""),"",AA29*(1+AB31))</f>
        <v/>
      </c>
    </row>
    <row r="30" customFormat="false" ht="15" hidden="false" customHeight="true" outlineLevel="0" collapsed="false">
      <c r="A30" s="17" t="s">
        <v>65</v>
      </c>
      <c r="B30" s="18"/>
      <c r="C30" s="28" t="str">
        <f aca="false">IFERROR(IF(OR(B26="",B26=0,C26=""),"",C26/B26-1),"")</f>
        <v/>
      </c>
      <c r="D30" s="28" t="str">
        <f aca="false">IFERROR(IF(OR(C26="",C26=0,D26=""),"",D26/C26-1),"")</f>
        <v/>
      </c>
      <c r="E30" s="28" t="str">
        <f aca="false">IFERROR(IF(OR(D26="",D26=0,E26=""),"",E26/D26-1),"")</f>
        <v/>
      </c>
      <c r="F30" s="28" t="str">
        <f aca="false">IFERROR(IF(OR(E26="",E26=0,F26=""),"",F26/E26-1),"")</f>
        <v/>
      </c>
      <c r="G30" s="28" t="str">
        <f aca="false">IFERROR(IF(OR(F26="",F26=0,G26=""),"",G26/F26-1),"")</f>
        <v/>
      </c>
      <c r="H30" s="28" t="str">
        <f aca="false">IFERROR(IF(OR(G26="",G26=0,H26=""),"",H26/G26-1),"")</f>
        <v/>
      </c>
      <c r="I30" s="28" t="str">
        <f aca="false">IFERROR(IF(OR(H26="",H26=0,I26=""),"",I26/H26-1),"")</f>
        <v/>
      </c>
      <c r="J30" s="18"/>
      <c r="K30" s="28" t="str">
        <f aca="false">IFERROR(IF(OR(J26="",J26=0,K26=""),"",K26/J26-1),"")</f>
        <v/>
      </c>
      <c r="L30" s="28" t="str">
        <f aca="false">IFERROR(IF(OR(K26="",K26=0,L26=""),"",L26/K26-1),"")</f>
        <v/>
      </c>
      <c r="M30" s="28" t="str">
        <f aca="false">IFERROR(IF(OR(L26="",L26=0,M26=""),"",M26/L26-1),"")</f>
        <v/>
      </c>
      <c r="N30" s="28" t="str">
        <f aca="false">IFERROR(IF(OR(M26="",M26=0,N26=""),"",N26/M26-1),"")</f>
        <v/>
      </c>
      <c r="O30" s="28" t="str">
        <f aca="false">IFERROR(IF(OR(N26="",N26=0,O26=""),"",O26/N26-1),"")</f>
        <v/>
      </c>
      <c r="P30" s="28" t="str">
        <f aca="false">IFERROR(IF(OR(O26="",O26=0,P26=""),"",P26/O26-1),"")</f>
        <v/>
      </c>
      <c r="Q30" s="28" t="str">
        <f aca="false">IFERROR(IF(OR(P26="",P26=0,Q26=""),"",Q26/P26-1),"")</f>
        <v/>
      </c>
      <c r="R30" s="28" t="str">
        <f aca="false">IFERROR(IF(OR(Q26="",Q26=0,R26=""),"",R26/Q26-1),"")</f>
        <v/>
      </c>
      <c r="S30" s="29" t="str">
        <f aca="false">IF(Assumptions!S18="","",Assumptions!S18)</f>
        <v/>
      </c>
      <c r="T30" s="29" t="str">
        <f aca="false">IF(Assumptions!T18="","",Assumptions!T18)</f>
        <v/>
      </c>
      <c r="U30" s="29" t="str">
        <f aca="false">IF(Assumptions!U18="","",Assumptions!U18)</f>
        <v/>
      </c>
      <c r="V30" s="29" t="str">
        <f aca="false">IF(Assumptions!V18="","",Assumptions!V18)</f>
        <v/>
      </c>
      <c r="W30" s="29" t="str">
        <f aca="false">IF(Assumptions!W18="","",Assumptions!W18)</f>
        <v/>
      </c>
      <c r="X30" s="29" t="str">
        <f aca="false">IF(Assumptions!X18="","",Assumptions!X18)</f>
        <v/>
      </c>
      <c r="Y30" s="29" t="str">
        <f aca="false">IF(Assumptions!Y18="","",Assumptions!Y18)</f>
        <v/>
      </c>
      <c r="Z30" s="29" t="str">
        <f aca="false">IF(Assumptions!Z18="","",Assumptions!Z18)</f>
        <v/>
      </c>
      <c r="AA30" s="29" t="str">
        <f aca="false">IF(Assumptions!AA18="","",Assumptions!AA18)</f>
        <v/>
      </c>
      <c r="AB30" s="29" t="str">
        <f aca="false">IF(Assumptions!AB18="","",Assumptions!AB18)</f>
        <v/>
      </c>
    </row>
    <row r="31" customFormat="false" ht="15" hidden="false" customHeight="true" outlineLevel="0" collapsed="false">
      <c r="A31" s="17" t="s">
        <v>66</v>
      </c>
      <c r="B31" s="18"/>
      <c r="C31" s="28" t="str">
        <f aca="false">IFERROR(IF(OR(B29="",B29=0,C29=""),"",C29/B29-1),"")</f>
        <v/>
      </c>
      <c r="D31" s="28" t="str">
        <f aca="false">IFERROR(IF(OR(C29="",C29=0,D29=""),"",D29/C29-1),"")</f>
        <v/>
      </c>
      <c r="E31" s="28" t="str">
        <f aca="false">IFERROR(IF(OR(D29="",D29=0,E29=""),"",E29/D29-1),"")</f>
        <v/>
      </c>
      <c r="F31" s="28" t="str">
        <f aca="false">IFERROR(IF(OR(E29="",E29=0,F29=""),"",F29/E29-1),"")</f>
        <v/>
      </c>
      <c r="G31" s="28" t="str">
        <f aca="false">IFERROR(IF(OR(F29="",F29=0,G29=""),"",G29/F29-1),"")</f>
        <v/>
      </c>
      <c r="H31" s="28" t="str">
        <f aca="false">IFERROR(IF(OR(G29="",G29=0,H29=""),"",H29/G29-1),"")</f>
        <v/>
      </c>
      <c r="I31" s="28" t="str">
        <f aca="false">IFERROR(IF(OR(H29="",H29=0,I29=""),"",I29/H29-1),"")</f>
        <v/>
      </c>
      <c r="J31" s="18"/>
      <c r="K31" s="28" t="str">
        <f aca="false">IFERROR(IF(OR(J29="",J29=0,K29=""),"",K29/J29-1),"")</f>
        <v/>
      </c>
      <c r="L31" s="28" t="str">
        <f aca="false">IFERROR(IF(OR(K29="",K29=0,L29=""),"",L29/K29-1),"")</f>
        <v/>
      </c>
      <c r="M31" s="28" t="str">
        <f aca="false">IFERROR(IF(OR(L29="",L29=0,M29=""),"",M29/L29-1),"")</f>
        <v/>
      </c>
      <c r="N31" s="28" t="str">
        <f aca="false">IFERROR(IF(OR(M29="",M29=0,N29=""),"",N29/M29-1),"")</f>
        <v/>
      </c>
      <c r="O31" s="28" t="str">
        <f aca="false">IFERROR(IF(OR(N29="",N29=0,O29=""),"",O29/N29-1),"")</f>
        <v/>
      </c>
      <c r="P31" s="28" t="str">
        <f aca="false">IFERROR(IF(OR(O29="",O29=0,P29=""),"",P29/O29-1),"")</f>
        <v/>
      </c>
      <c r="Q31" s="28" t="str">
        <f aca="false">IFERROR(IF(OR(P29="",P29=0,Q29=""),"",Q29/P29-1),"")</f>
        <v/>
      </c>
      <c r="R31" s="28" t="str">
        <f aca="false">IFERROR(IF(OR(Q29="",Q29=0,R29=""),"",R29/Q29-1),"")</f>
        <v/>
      </c>
      <c r="S31" s="29" t="str">
        <f aca="false">IF(Assumptions!S19="","",Assumptions!S19)</f>
        <v/>
      </c>
      <c r="T31" s="29" t="str">
        <f aca="false">IF(Assumptions!T19="","",Assumptions!T19)</f>
        <v/>
      </c>
      <c r="U31" s="29" t="str">
        <f aca="false">IF(Assumptions!U19="","",Assumptions!U19)</f>
        <v/>
      </c>
      <c r="V31" s="29" t="str">
        <f aca="false">IF(Assumptions!V19="","",Assumptions!V19)</f>
        <v/>
      </c>
      <c r="W31" s="29" t="str">
        <f aca="false">IF(Assumptions!W19="","",Assumptions!W19)</f>
        <v/>
      </c>
      <c r="X31" s="29" t="str">
        <f aca="false">IF(Assumptions!X19="","",Assumptions!X19)</f>
        <v/>
      </c>
      <c r="Y31" s="29" t="str">
        <f aca="false">IF(Assumptions!Y19="","",Assumptions!Y19)</f>
        <v/>
      </c>
      <c r="Z31" s="29" t="str">
        <f aca="false">IF(Assumptions!Z19="","",Assumptions!Z19)</f>
        <v/>
      </c>
      <c r="AA31" s="29" t="str">
        <f aca="false">IF(Assumptions!AA19="","",Assumptions!AA19)</f>
        <v/>
      </c>
      <c r="AB31" s="29" t="str">
        <f aca="false">IF(Assumptions!AB19="","",Assumptions!AB19)</f>
        <v/>
      </c>
    </row>
    <row r="32" customFormat="false" ht="15" hidden="false" customHeight="true" outlineLevel="0" collapsed="false">
      <c r="A32" s="17" t="s">
        <v>91</v>
      </c>
      <c r="B32" s="27" t="str">
        <f aca="false">IF(B28="","",B28)</f>
        <v/>
      </c>
      <c r="C32" s="27" t="str">
        <f aca="false">IF(C28="","",C28)</f>
        <v/>
      </c>
      <c r="D32" s="27" t="str">
        <f aca="false">IF(D28="","",D28)</f>
        <v/>
      </c>
      <c r="E32" s="27" t="str">
        <f aca="false">IF(E28="","",E28)</f>
        <v/>
      </c>
      <c r="F32" s="27" t="str">
        <f aca="false">IF(F28="","",F28)</f>
        <v/>
      </c>
      <c r="G32" s="27" t="str">
        <f aca="false">IF(G28="","",G28)</f>
        <v/>
      </c>
      <c r="H32" s="27" t="str">
        <f aca="false">IF(H28="","",H28)</f>
        <v/>
      </c>
      <c r="I32" s="27" t="str">
        <f aca="false">IF(I28="","",I28)</f>
        <v/>
      </c>
      <c r="J32" s="27" t="str">
        <f aca="false">IF(J28="","",J28)</f>
        <v/>
      </c>
      <c r="K32" s="27" t="str">
        <f aca="false">IF(K28="","",K28)</f>
        <v/>
      </c>
      <c r="L32" s="27" t="str">
        <f aca="false">IF(L28="","",L28)</f>
        <v/>
      </c>
      <c r="M32" s="27" t="str">
        <f aca="false">IF(M28="","",M28)</f>
        <v/>
      </c>
      <c r="N32" s="27" t="str">
        <f aca="false">IF(N28="","",N28)</f>
        <v/>
      </c>
      <c r="O32" s="27" t="str">
        <f aca="false">IF(O28="","",O28)</f>
        <v/>
      </c>
      <c r="P32" s="27" t="str">
        <f aca="false">IF(P28="","",P28)</f>
        <v/>
      </c>
      <c r="Q32" s="27" t="str">
        <f aca="false">IF(Q28="","",Q28)</f>
        <v/>
      </c>
      <c r="R32" s="27" t="str">
        <f aca="false">IF(R28="","",R28)</f>
        <v/>
      </c>
      <c r="S32" s="27" t="str">
        <f aca="false">IF(OR(S26="",S29=""),"",S26*S29/100)</f>
        <v/>
      </c>
      <c r="T32" s="27" t="str">
        <f aca="false">IF(OR(T26="",T29=""),"",T26*T29/100)</f>
        <v/>
      </c>
      <c r="U32" s="27" t="str">
        <f aca="false">IF(OR(U26="",U29=""),"",U26*U29/100)</f>
        <v/>
      </c>
      <c r="V32" s="27" t="str">
        <f aca="false">IF(OR(V26="",V29=""),"",V26*V29/100)</f>
        <v/>
      </c>
      <c r="W32" s="27" t="str">
        <f aca="false">IF(OR(W26="",W29=""),"",W26*W29/100)</f>
        <v/>
      </c>
      <c r="X32" s="27" t="str">
        <f aca="false">IF(OR(X26="",X29=""),"",X26*X29/100)</f>
        <v/>
      </c>
      <c r="Y32" s="27" t="str">
        <f aca="false">IF(OR(Y26="",Y29=""),"",Y26*Y29/100)</f>
        <v/>
      </c>
      <c r="Z32" s="27" t="str">
        <f aca="false">IF(OR(Z26="",Z29=""),"",Z26*Z29/100)</f>
        <v/>
      </c>
      <c r="AA32" s="27" t="str">
        <f aca="false">IF(OR(AA26="",AA29=""),"",AA26*AA29/100)</f>
        <v/>
      </c>
      <c r="AB32" s="27" t="str">
        <f aca="false">IF(OR(AB26="",AB29=""),"",AB26*AB29/100)</f>
        <v/>
      </c>
    </row>
    <row r="33" customFormat="false" ht="15" hidden="false" customHeight="true" outlineLevel="0" collapsed="false">
      <c r="A33" s="2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customFormat="false" ht="15" hidden="false" customHeight="true" outlineLevel="0" collapsed="false">
      <c r="A34" s="2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</sheetData>
  <mergeCells count="5">
    <mergeCell ref="A1:AB1"/>
    <mergeCell ref="A2:AB2"/>
    <mergeCell ref="A5:AB5"/>
    <mergeCell ref="A15:AB15"/>
    <mergeCell ref="A25:A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9.13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6" t="s">
        <v>64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15" hidden="false" customHeight="true" outlineLevel="0" collapsed="false">
      <c r="A6" s="17" t="s">
        <v>94</v>
      </c>
      <c r="B6" s="30" t="n">
        <f aca="false">'Volume-Price'!B6</f>
        <v>0</v>
      </c>
      <c r="C6" s="30" t="n">
        <f aca="false">'Volume-Price'!C6</f>
        <v>0</v>
      </c>
      <c r="D6" s="30" t="n">
        <f aca="false">'Volume-Price'!D6</f>
        <v>0</v>
      </c>
      <c r="E6" s="30" t="n">
        <f aca="false">'Volume-Price'!E6</f>
        <v>0</v>
      </c>
      <c r="F6" s="30" t="n">
        <f aca="false">'Volume-Price'!F6</f>
        <v>0</v>
      </c>
      <c r="G6" s="30" t="n">
        <f aca="false">'Volume-Price'!G6</f>
        <v>0</v>
      </c>
      <c r="H6" s="30" t="n">
        <f aca="false">'Volume-Price'!H6</f>
        <v>0</v>
      </c>
      <c r="I6" s="30" t="n">
        <f aca="false">'Volume-Price'!I6</f>
        <v>0</v>
      </c>
      <c r="J6" s="30" t="n">
        <f aca="false">'Volume-Price'!J6</f>
        <v>0</v>
      </c>
      <c r="K6" s="30" t="n">
        <f aca="false">'Volume-Price'!K6</f>
        <v>0</v>
      </c>
      <c r="L6" s="30" t="n">
        <f aca="false">'Volume-Price'!L6</f>
        <v>0</v>
      </c>
      <c r="M6" s="30" t="n">
        <f aca="false">'Volume-Price'!M6</f>
        <v>0</v>
      </c>
      <c r="N6" s="30" t="n">
        <f aca="false">'Volume-Price'!N6</f>
        <v>0</v>
      </c>
      <c r="O6" s="30" t="n">
        <f aca="false">'Volume-Price'!O6</f>
        <v>0</v>
      </c>
      <c r="P6" s="30" t="n">
        <f aca="false">'Volume-Price'!P6</f>
        <v>0</v>
      </c>
      <c r="Q6" s="30" t="n">
        <f aca="false">'Volume-Price'!Q6</f>
        <v>0</v>
      </c>
      <c r="R6" s="30" t="n">
        <f aca="false">'Volume-Price'!R6</f>
        <v>0</v>
      </c>
      <c r="S6" s="30" t="str">
        <f aca="false">'Volume-Price'!S6</f>
        <v/>
      </c>
      <c r="T6" s="30" t="str">
        <f aca="false">'Volume-Price'!T6</f>
        <v/>
      </c>
      <c r="U6" s="30" t="str">
        <f aca="false">'Volume-Price'!U6</f>
        <v/>
      </c>
      <c r="V6" s="30" t="str">
        <f aca="false">'Volume-Price'!V6</f>
        <v/>
      </c>
      <c r="W6" s="30" t="str">
        <f aca="false">'Volume-Price'!W6</f>
        <v/>
      </c>
      <c r="X6" s="30" t="str">
        <f aca="false">'Volume-Price'!X6</f>
        <v/>
      </c>
      <c r="Y6" s="30" t="str">
        <f aca="false">'Volume-Price'!Y6</f>
        <v/>
      </c>
      <c r="Z6" s="30" t="str">
        <f aca="false">'Volume-Price'!Z6</f>
        <v/>
      </c>
      <c r="AA6" s="30" t="str">
        <f aca="false">'Volume-Price'!AA6</f>
        <v/>
      </c>
      <c r="AB6" s="30" t="str">
        <f aca="false">'Volume-Price'!AB6</f>
        <v/>
      </c>
    </row>
    <row r="7" customFormat="false" ht="15" hidden="false" customHeight="true" outlineLevel="0" collapsed="false">
      <c r="A7" s="17" t="s">
        <v>95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customFormat="false" ht="15" hidden="false" customHeight="true" outlineLevel="0" collapsed="false">
      <c r="A8" s="17" t="s">
        <v>96</v>
      </c>
      <c r="B8" s="24" t="str">
        <f aca="false">IFERROR(IF(OR(B6="",B6=0,B7=""),"",B7/B6*100),"")</f>
        <v/>
      </c>
      <c r="C8" s="24" t="str">
        <f aca="false">IFERROR(IF(OR(C6="",C6=0,C7=""),"",C7/C6*100),"")</f>
        <v/>
      </c>
      <c r="D8" s="24" t="str">
        <f aca="false">IFERROR(IF(OR(D6="",D6=0,D7=""),"",D7/D6*100),"")</f>
        <v/>
      </c>
      <c r="E8" s="24" t="str">
        <f aca="false">IFERROR(IF(OR(E6="",E6=0,E7=""),"",E7/E6*100),"")</f>
        <v/>
      </c>
      <c r="F8" s="24" t="str">
        <f aca="false">IFERROR(IF(OR(F6="",F6=0,F7=""),"",F7/F6*100),"")</f>
        <v/>
      </c>
      <c r="G8" s="24" t="str">
        <f aca="false">IFERROR(IF(OR(G6="",G6=0,G7=""),"",G7/G6*100),"")</f>
        <v/>
      </c>
      <c r="H8" s="24" t="str">
        <f aca="false">IFERROR(IF(OR(H6="",H6=0,H7=""),"",H7/H6*100),"")</f>
        <v/>
      </c>
      <c r="I8" s="24" t="str">
        <f aca="false">IFERROR(IF(OR(I6="",I6=0,I7=""),"",I7/I6*100),"")</f>
        <v/>
      </c>
      <c r="J8" s="24" t="str">
        <f aca="false">IFERROR(IF(OR(J6="",J6=0,J7=""),"",J7/J6*100),"")</f>
        <v/>
      </c>
      <c r="K8" s="24" t="str">
        <f aca="false">IFERROR(IF(OR(K6="",K6=0,K7=""),"",K7/K6*100),"")</f>
        <v/>
      </c>
      <c r="L8" s="24" t="str">
        <f aca="false">IFERROR(IF(OR(L6="",L6=0,L7=""),"",L7/L6*100),"")</f>
        <v/>
      </c>
      <c r="M8" s="24" t="str">
        <f aca="false">IFERROR(IF(OR(M6="",M6=0,M7=""),"",M7/M6*100),"")</f>
        <v/>
      </c>
      <c r="N8" s="24" t="str">
        <f aca="false">IFERROR(IF(OR(N6="",N6=0,N7=""),"",N7/N6*100),"")</f>
        <v/>
      </c>
      <c r="O8" s="24" t="str">
        <f aca="false">IFERROR(IF(OR(O6="",O6=0,O7=""),"",O7/O6*100),"")</f>
        <v/>
      </c>
      <c r="P8" s="24" t="str">
        <f aca="false">IFERROR(IF(OR(P6="",P6=0,P7=""),"",P7/P6*100),"")</f>
        <v/>
      </c>
      <c r="Q8" s="24" t="str">
        <f aca="false">IFERROR(IF(OR(Q6="",Q6=0,Q7=""),"",Q7/Q6*100),"")</f>
        <v/>
      </c>
      <c r="R8" s="24" t="str">
        <f aca="false">IFERROR(IF(OR(R6="",R6=0,R7=""),"",R7/R6*100),"")</f>
        <v/>
      </c>
      <c r="S8" s="24" t="str">
        <f aca="false">IFERROR(IF(OR(S6="",S6=0,S7=""),"",S7/S6*100),"")</f>
        <v/>
      </c>
      <c r="T8" s="24" t="str">
        <f aca="false">IFERROR(IF(OR(T6="",T6=0,T7=""),"",T7/T6*100),"")</f>
        <v/>
      </c>
      <c r="U8" s="24" t="str">
        <f aca="false">IFERROR(IF(OR(U6="",U6=0,U7=""),"",U7/U6*100),"")</f>
        <v/>
      </c>
      <c r="V8" s="24" t="str">
        <f aca="false">IFERROR(IF(OR(V6="",V6=0,V7=""),"",V7/V6*100),"")</f>
        <v/>
      </c>
      <c r="W8" s="24" t="str">
        <f aca="false">IFERROR(IF(OR(W6="",W6=0,W7=""),"",W7/W6*100),"")</f>
        <v/>
      </c>
      <c r="X8" s="24" t="str">
        <f aca="false">IFERROR(IF(OR(X6="",X6=0,X7=""),"",X7/X6*100),"")</f>
        <v/>
      </c>
      <c r="Y8" s="24" t="str">
        <f aca="false">IFERROR(IF(OR(Y6="",Y6=0,Y7=""),"",Y7/Y6*100),"")</f>
        <v/>
      </c>
      <c r="Z8" s="24" t="str">
        <f aca="false">IFERROR(IF(OR(Z6="",Z6=0,Z7=""),"",Z7/Z6*100),"")</f>
        <v/>
      </c>
      <c r="AA8" s="24" t="str">
        <f aca="false">IFERROR(IF(OR(AA6="",AA6=0,AA7=""),"",AA7/AA6*100),"")</f>
        <v/>
      </c>
      <c r="AB8" s="24" t="str">
        <f aca="false">IFERROR(IF(OR(AB6="",AB6=0,AB7=""),"",AB7/AB6*100),"")</f>
        <v/>
      </c>
    </row>
    <row r="9" customFormat="false" ht="15" hidden="false" customHeight="true" outlineLevel="0" collapsed="false">
      <c r="A9" s="17" t="s">
        <v>97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9" t="str">
        <f aca="false">IF(Assumptions!S8="","",Assumptions!S8)</f>
        <v/>
      </c>
      <c r="T9" s="29" t="str">
        <f aca="false">IF(Assumptions!T8="","",Assumptions!T8)</f>
        <v/>
      </c>
      <c r="U9" s="29" t="str">
        <f aca="false">IF(Assumptions!U8="","",Assumptions!U8)</f>
        <v/>
      </c>
      <c r="V9" s="29" t="str">
        <f aca="false">IF(Assumptions!V8="","",Assumptions!V8)</f>
        <v/>
      </c>
      <c r="W9" s="29" t="str">
        <f aca="false">IF(Assumptions!W8="","",Assumptions!W8)</f>
        <v/>
      </c>
      <c r="X9" s="29" t="str">
        <f aca="false">IF(Assumptions!X8="","",Assumptions!X8)</f>
        <v/>
      </c>
      <c r="Y9" s="29" t="str">
        <f aca="false">IF(Assumptions!Y8="","",Assumptions!Y8)</f>
        <v/>
      </c>
      <c r="Z9" s="29" t="str">
        <f aca="false">IF(Assumptions!Z8="","",Assumptions!Z8)</f>
        <v/>
      </c>
      <c r="AA9" s="29" t="str">
        <f aca="false">IF(Assumptions!AA8="","",Assumptions!AA8)</f>
        <v/>
      </c>
      <c r="AB9" s="29" t="str">
        <f aca="false">IF(Assumptions!AB8="","",Assumptions!AB8)</f>
        <v/>
      </c>
    </row>
    <row r="10" customFormat="false" ht="15" hidden="false" customHeight="true" outlineLevel="0" collapsed="false">
      <c r="A10" s="17" t="s">
        <v>98</v>
      </c>
      <c r="B10" s="31" t="str">
        <f aca="false">IFERROR(IF(OR('Price Inputs'!B$6="",'Price Inputs'!$I$6=""),"",'Price Inputs'!B$6/'Price Inputs'!$I$6),"")</f>
        <v/>
      </c>
      <c r="C10" s="31" t="str">
        <f aca="false">IFERROR(IF(OR('Price Inputs'!C$6="",'Price Inputs'!$I$6=""),"",'Price Inputs'!C$6/'Price Inputs'!$I$6),"")</f>
        <v/>
      </c>
      <c r="D10" s="31" t="str">
        <f aca="false">IFERROR(IF(OR('Price Inputs'!D$6="",'Price Inputs'!$I$6=""),"",'Price Inputs'!D$6/'Price Inputs'!$I$6),"")</f>
        <v/>
      </c>
      <c r="E10" s="31" t="str">
        <f aca="false">IFERROR(IF(OR('Price Inputs'!E$6="",'Price Inputs'!$I$6=""),"",'Price Inputs'!E$6/'Price Inputs'!$I$6),"")</f>
        <v/>
      </c>
      <c r="F10" s="31" t="str">
        <f aca="false">IFERROR(IF(OR('Price Inputs'!F$6="",'Price Inputs'!$I$6=""),"",'Price Inputs'!F$6/'Price Inputs'!$I$6),"")</f>
        <v/>
      </c>
      <c r="G10" s="31" t="str">
        <f aca="false">IFERROR(IF(OR('Price Inputs'!G$6="",'Price Inputs'!$I$6=""),"",'Price Inputs'!G$6/'Price Inputs'!$I$6),"")</f>
        <v/>
      </c>
      <c r="H10" s="31" t="str">
        <f aca="false">IFERROR(IF(OR('Price Inputs'!H$6="",'Price Inputs'!$I$6=""),"",'Price Inputs'!H$6/'Price Inputs'!$I$6),"")</f>
        <v/>
      </c>
      <c r="I10" s="31" t="str">
        <f aca="false">IFERROR(IF(OR('Price Inputs'!I$6="",'Price Inputs'!$I$6=""),"",'Price Inputs'!I$6/'Price Inputs'!$I$6),"")</f>
        <v/>
      </c>
      <c r="J10" s="31" t="str">
        <f aca="false">IFERROR(IF(OR('Price Inputs'!J$6="",'Price Inputs'!$I$6=""),"",'Price Inputs'!J$6/'Price Inputs'!$I$6),"")</f>
        <v/>
      </c>
      <c r="K10" s="31" t="str">
        <f aca="false">IFERROR(IF(OR('Price Inputs'!K$6="",'Price Inputs'!$I$6=""),"",'Price Inputs'!K$6/'Price Inputs'!$I$6),"")</f>
        <v/>
      </c>
      <c r="L10" s="31" t="str">
        <f aca="false">IFERROR(IF(OR('Price Inputs'!L$6="",'Price Inputs'!$I$6=""),"",'Price Inputs'!L$6/'Price Inputs'!$I$6),"")</f>
        <v/>
      </c>
      <c r="M10" s="31" t="str">
        <f aca="false">IFERROR(IF(OR('Price Inputs'!M$6="",'Price Inputs'!$I$6=""),"",'Price Inputs'!M$6/'Price Inputs'!$I$6),"")</f>
        <v/>
      </c>
      <c r="N10" s="31" t="str">
        <f aca="false">IFERROR(IF(OR('Price Inputs'!N$6="",'Price Inputs'!$I$6=""),"",'Price Inputs'!N$6/'Price Inputs'!$I$6),"")</f>
        <v/>
      </c>
      <c r="O10" s="31" t="str">
        <f aca="false">IFERROR(IF(OR('Price Inputs'!O$6="",'Price Inputs'!$I$6=""),"",'Price Inputs'!O$6/'Price Inputs'!$I$6),"")</f>
        <v/>
      </c>
      <c r="P10" s="31" t="str">
        <f aca="false">IFERROR(IF(OR('Price Inputs'!P$6="",'Price Inputs'!$I$6=""),"",'Price Inputs'!P$6/'Price Inputs'!$I$6),"")</f>
        <v/>
      </c>
      <c r="Q10" s="31" t="str">
        <f aca="false">IFERROR(IF(OR('Price Inputs'!Q$6="",'Price Inputs'!$I$6=""),"",'Price Inputs'!Q$6/'Price Inputs'!$I$6),"")</f>
        <v/>
      </c>
      <c r="R10" s="31" t="str">
        <f aca="false">IFERROR(IF(OR('Price Inputs'!R$6="",'Price Inputs'!$I$6=""),"",'Price Inputs'!R$6/'Price Inputs'!$I$6),"")</f>
        <v/>
      </c>
      <c r="S10" s="31" t="str">
        <f aca="false">IFERROR(IF(OR('Price Inputs'!S$6="",'Price Inputs'!$I$6=""),"",'Price Inputs'!S$6/'Price Inputs'!$I$6),"")</f>
        <v/>
      </c>
      <c r="T10" s="31" t="str">
        <f aca="false">IFERROR(IF(OR('Price Inputs'!T$6="",'Price Inputs'!$I$6=""),"",'Price Inputs'!T$6/'Price Inputs'!$I$6),"")</f>
        <v/>
      </c>
      <c r="U10" s="31" t="str">
        <f aca="false">IFERROR(IF(OR('Price Inputs'!U$6="",'Price Inputs'!$I$6=""),"",'Price Inputs'!U$6/'Price Inputs'!$I$6),"")</f>
        <v/>
      </c>
      <c r="V10" s="31" t="str">
        <f aca="false">IFERROR(IF(OR('Price Inputs'!V$6="",'Price Inputs'!$I$6=""),"",'Price Inputs'!V$6/'Price Inputs'!$I$6),"")</f>
        <v/>
      </c>
      <c r="W10" s="31" t="str">
        <f aca="false">IFERROR(IF(OR('Price Inputs'!W$6="",'Price Inputs'!$I$6=""),"",'Price Inputs'!W$6/'Price Inputs'!$I$6),"")</f>
        <v/>
      </c>
      <c r="X10" s="31" t="str">
        <f aca="false">IFERROR(IF(OR('Price Inputs'!X$6="",'Price Inputs'!$I$6=""),"",'Price Inputs'!X$6/'Price Inputs'!$I$6),"")</f>
        <v/>
      </c>
      <c r="Y10" s="31" t="str">
        <f aca="false">IFERROR(IF(OR('Price Inputs'!Y$6="",'Price Inputs'!$I$6=""),"",'Price Inputs'!Y$6/'Price Inputs'!$I$6),"")</f>
        <v/>
      </c>
      <c r="Z10" s="31" t="str">
        <f aca="false">IFERROR(IF(OR('Price Inputs'!Z$6="",'Price Inputs'!$I$6=""),"",'Price Inputs'!Z$6/'Price Inputs'!$I$6),"")</f>
        <v/>
      </c>
      <c r="AA10" s="31" t="str">
        <f aca="false">IFERROR(IF(OR('Price Inputs'!AA$6="",'Price Inputs'!$I$6=""),"",'Price Inputs'!AA$6/'Price Inputs'!$I$6),"")</f>
        <v/>
      </c>
      <c r="AB10" s="31" t="str">
        <f aca="false">IFERROR(IF(OR('Price Inputs'!AB$6="",'Price Inputs'!$I$6=""),"",'Price Inputs'!AB$6/'Price Inputs'!$I$6),"")</f>
        <v/>
      </c>
    </row>
    <row r="11" customFormat="false" ht="15" hidden="false" customHeight="true" outlineLevel="0" collapsed="false">
      <c r="A11" s="17" t="s">
        <v>99</v>
      </c>
      <c r="B11" s="32" t="str">
        <f aca="false">IF(B8="","",1)</f>
        <v/>
      </c>
      <c r="C11" s="32" t="str">
        <f aca="false">IF(C8="","",1)</f>
        <v/>
      </c>
      <c r="D11" s="32" t="str">
        <f aca="false">IF(D8="","",1)</f>
        <v/>
      </c>
      <c r="E11" s="32" t="str">
        <f aca="false">IF(E8="","",1)</f>
        <v/>
      </c>
      <c r="F11" s="32" t="str">
        <f aca="false">IF(F8="","",1)</f>
        <v/>
      </c>
      <c r="G11" s="32" t="str">
        <f aca="false">IF(G8="","",1)</f>
        <v/>
      </c>
      <c r="H11" s="32" t="str">
        <f aca="false">IF(H8="","",1)</f>
        <v/>
      </c>
      <c r="I11" s="32" t="str">
        <f aca="false">IF(I8="","",1)</f>
        <v/>
      </c>
      <c r="J11" s="32" t="str">
        <f aca="false">IF(J8="","",1)</f>
        <v/>
      </c>
      <c r="K11" s="32" t="str">
        <f aca="false">IF(K8="","",1)</f>
        <v/>
      </c>
      <c r="L11" s="32" t="str">
        <f aca="false">IF(L8="","",1)</f>
        <v/>
      </c>
      <c r="M11" s="32" t="str">
        <f aca="false">IF(M8="","",1)</f>
        <v/>
      </c>
      <c r="N11" s="32" t="str">
        <f aca="false">IF(N8="","",1)</f>
        <v/>
      </c>
      <c r="O11" s="32" t="str">
        <f aca="false">IF(O8="","",1)</f>
        <v/>
      </c>
      <c r="P11" s="32" t="str">
        <f aca="false">IF(P8="","",1)</f>
        <v/>
      </c>
      <c r="Q11" s="32" t="str">
        <f aca="false">IF(Q8="","",1)</f>
        <v/>
      </c>
      <c r="R11" s="32" t="str">
        <f aca="false">IF(R8="","",1)</f>
        <v/>
      </c>
      <c r="S11" s="31" t="str">
        <f aca="false">IF(Assumptions!S9="","",1*(1+Assumptions!S9))</f>
        <v/>
      </c>
      <c r="T11" s="31" t="str">
        <f aca="false">IF(Assumptions!T9="","",S11*(1+Assumptions!T9))</f>
        <v/>
      </c>
      <c r="U11" s="31" t="str">
        <f aca="false">IF(Assumptions!U9="","",T11*(1+Assumptions!U9))</f>
        <v/>
      </c>
      <c r="V11" s="31" t="str">
        <f aca="false">IF(Assumptions!V9="","",1*(1+Assumptions!V9))</f>
        <v/>
      </c>
      <c r="W11" s="31" t="str">
        <f aca="false">IF(Assumptions!W9="","",V11*(1+Assumptions!W9))</f>
        <v/>
      </c>
      <c r="X11" s="31" t="str">
        <f aca="false">IF(Assumptions!X9="","",W11*(1+Assumptions!X9))</f>
        <v/>
      </c>
      <c r="Y11" s="31" t="str">
        <f aca="false">IF(Assumptions!Y9="","",X11*(1+Assumptions!Y9))</f>
        <v/>
      </c>
      <c r="Z11" s="31" t="str">
        <f aca="false">IF(Assumptions!Z9="","",Y11*(1+Assumptions!Z9))</f>
        <v/>
      </c>
      <c r="AA11" s="31" t="str">
        <f aca="false">IF(Assumptions!AA9="","",Z11*(1+Assumptions!AA9))</f>
        <v/>
      </c>
      <c r="AB11" s="31" t="str">
        <f aca="false">IF(Assumptions!AB9="","",AA11*(1+Assumptions!AB9))</f>
        <v/>
      </c>
    </row>
    <row r="12" customFormat="false" ht="15" hidden="false" customHeight="true" outlineLevel="0" collapsed="false">
      <c r="A12" s="17" t="s">
        <v>100</v>
      </c>
      <c r="B12" s="24" t="str">
        <f aca="false">IF(B8="","",B8)</f>
        <v/>
      </c>
      <c r="C12" s="24" t="str">
        <f aca="false">IF(C8="","",C8)</f>
        <v/>
      </c>
      <c r="D12" s="24" t="str">
        <f aca="false">IF(D8="","",D8)</f>
        <v/>
      </c>
      <c r="E12" s="24" t="str">
        <f aca="false">IF(E8="","",E8)</f>
        <v/>
      </c>
      <c r="F12" s="24" t="str">
        <f aca="false">IF(F8="","",F8)</f>
        <v/>
      </c>
      <c r="G12" s="24" t="str">
        <f aca="false">IF(G8="","",G8)</f>
        <v/>
      </c>
      <c r="H12" s="24" t="str">
        <f aca="false">IF(H8="","",H8)</f>
        <v/>
      </c>
      <c r="I12" s="24" t="str">
        <f aca="false">IF(I8="","",I8)</f>
        <v/>
      </c>
      <c r="J12" s="24" t="str">
        <f aca="false">IF(J8="","",J8)</f>
        <v/>
      </c>
      <c r="K12" s="24" t="str">
        <f aca="false">IF(K8="","",K8)</f>
        <v/>
      </c>
      <c r="L12" s="24" t="str">
        <f aca="false">IF(L8="","",L8)</f>
        <v/>
      </c>
      <c r="M12" s="24" t="str">
        <f aca="false">IF(M8="","",M8)</f>
        <v/>
      </c>
      <c r="N12" s="24" t="str">
        <f aca="false">IF(N8="","",N8)</f>
        <v/>
      </c>
      <c r="O12" s="24" t="str">
        <f aca="false">IF(O8="","",O8)</f>
        <v/>
      </c>
      <c r="P12" s="24" t="str">
        <f aca="false">IF(P8="","",P8)</f>
        <v/>
      </c>
      <c r="Q12" s="24" t="str">
        <f aca="false">IF(Q8="","",Q8)</f>
        <v/>
      </c>
      <c r="R12" s="24" t="str">
        <f aca="false">IF(R8="","",R8)</f>
        <v/>
      </c>
      <c r="S12" s="24" t="str">
        <f aca="false">IF(OR($I$8="",S9="",S10="",S11=""),"",$I$8*(S9*S10+(1-S9)*S11))</f>
        <v/>
      </c>
      <c r="T12" s="24" t="str">
        <f aca="false">IF(OR($I$8="",T9="",T10="",T11=""),"",$I$8*(T9*T10+(1-T9)*T11))</f>
        <v/>
      </c>
      <c r="U12" s="24" t="str">
        <f aca="false">IF(OR($I$8="",U9="",U10="",U11=""),"",$I$8*(U9*U10+(1-U9)*U11))</f>
        <v/>
      </c>
      <c r="V12" s="24" t="str">
        <f aca="false">IF(OR($I$8="",V9="",V10="",V11=""),"",$I$8*(V9*V10+(1-V9)*V11))</f>
        <v/>
      </c>
      <c r="W12" s="24" t="str">
        <f aca="false">IF(OR($I$8="",W9="",W10="",W11=""),"",$I$8*(W9*W10+(1-W9)*W11))</f>
        <v/>
      </c>
      <c r="X12" s="24" t="str">
        <f aca="false">IF(OR($I$8="",X9="",X10="",X11=""),"",$I$8*(X9*X10+(1-X9)*X11))</f>
        <v/>
      </c>
      <c r="Y12" s="24" t="str">
        <f aca="false">IF(OR($I$8="",Y9="",Y10="",Y11=""),"",$I$8*(Y9*Y10+(1-Y9)*Y11))</f>
        <v/>
      </c>
      <c r="Z12" s="24" t="str">
        <f aca="false">IF(OR($I$8="",Z9="",Z10="",Z11=""),"",$I$8*(Z9*Z10+(1-Z9)*Z11))</f>
        <v/>
      </c>
      <c r="AA12" s="24" t="str">
        <f aca="false">IF(OR($I$8="",AA9="",AA10="",AA11=""),"",$I$8*(AA9*AA10+(1-AA9)*AA11))</f>
        <v/>
      </c>
      <c r="AB12" s="24" t="str">
        <f aca="false">IF(OR($I$8="",AB9="",AB10="",AB11=""),"",$I$8*(AB9*AB10+(1-AB9)*AB11))</f>
        <v/>
      </c>
    </row>
    <row r="13" customFormat="false" ht="15" hidden="false" customHeight="true" outlineLevel="0" collapsed="false">
      <c r="A13" s="17" t="s">
        <v>101</v>
      </c>
      <c r="B13" s="27" t="str">
        <f aca="false">IF(B7="","",B7)</f>
        <v/>
      </c>
      <c r="C13" s="27" t="str">
        <f aca="false">IF(C7="","",C7)</f>
        <v/>
      </c>
      <c r="D13" s="27" t="str">
        <f aca="false">IF(D7="","",D7)</f>
        <v/>
      </c>
      <c r="E13" s="27" t="str">
        <f aca="false">IF(E7="","",E7)</f>
        <v/>
      </c>
      <c r="F13" s="27" t="str">
        <f aca="false">IF(F7="","",F7)</f>
        <v/>
      </c>
      <c r="G13" s="27" t="str">
        <f aca="false">IF(G7="","",G7)</f>
        <v/>
      </c>
      <c r="H13" s="27" t="str">
        <f aca="false">IF(H7="","",H7)</f>
        <v/>
      </c>
      <c r="I13" s="27" t="str">
        <f aca="false">IF(I7="","",I7)</f>
        <v/>
      </c>
      <c r="J13" s="27" t="str">
        <f aca="false">IF(J7="","",J7)</f>
        <v/>
      </c>
      <c r="K13" s="27" t="str">
        <f aca="false">IF(K7="","",K7)</f>
        <v/>
      </c>
      <c r="L13" s="27" t="str">
        <f aca="false">IF(L7="","",L7)</f>
        <v/>
      </c>
      <c r="M13" s="27" t="str">
        <f aca="false">IF(M7="","",M7)</f>
        <v/>
      </c>
      <c r="N13" s="27" t="str">
        <f aca="false">IF(N7="","",N7)</f>
        <v/>
      </c>
      <c r="O13" s="27" t="str">
        <f aca="false">IF(O7="","",O7)</f>
        <v/>
      </c>
      <c r="P13" s="27" t="str">
        <f aca="false">IF(P7="","",P7)</f>
        <v/>
      </c>
      <c r="Q13" s="27" t="str">
        <f aca="false">IF(Q7="","",Q7)</f>
        <v/>
      </c>
      <c r="R13" s="27" t="str">
        <f aca="false">IF(R7="","",R7)</f>
        <v/>
      </c>
      <c r="S13" s="27" t="str">
        <f aca="false">IF(OR(S6="",S12=""),"",S6*S12/100)</f>
        <v/>
      </c>
      <c r="T13" s="27" t="str">
        <f aca="false">IF(OR(T6="",T12=""),"",T6*T12/100)</f>
        <v/>
      </c>
      <c r="U13" s="27" t="str">
        <f aca="false">IF(OR(U6="",U12=""),"",U6*U12/100)</f>
        <v/>
      </c>
      <c r="V13" s="27" t="str">
        <f aca="false">IF(OR(V6="",V12=""),"",V6*V12/100)</f>
        <v/>
      </c>
      <c r="W13" s="27" t="str">
        <f aca="false">IF(OR(W6="",W12=""),"",W6*W12/100)</f>
        <v/>
      </c>
      <c r="X13" s="27" t="str">
        <f aca="false">IF(OR(X6="",X12=""),"",X6*X12/100)</f>
        <v/>
      </c>
      <c r="Y13" s="27" t="str">
        <f aca="false">IF(OR(Y6="",Y12=""),"",Y6*Y12/100)</f>
        <v/>
      </c>
      <c r="Z13" s="27" t="str">
        <f aca="false">IF(OR(Z6="",Z12=""),"",Z6*Z12/100)</f>
        <v/>
      </c>
      <c r="AA13" s="27" t="str">
        <f aca="false">IF(OR(AA6="",AA12=""),"",AA6*AA12/100)</f>
        <v/>
      </c>
      <c r="AB13" s="27" t="str">
        <f aca="false">IF(OR(AB6="",AB12=""),"",AB6*AB12/100)</f>
        <v/>
      </c>
    </row>
    <row r="14" customFormat="false" ht="15" hidden="false" customHeight="true" outlineLevel="0" collapsed="false">
      <c r="A14" s="2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customFormat="false" ht="15" hidden="false" customHeight="true" outlineLevel="0" collapsed="false">
      <c r="A15" s="2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customFormat="false" ht="15" hidden="false" customHeight="true" outlineLevel="0" collapsed="false">
      <c r="A16" s="16" t="s">
        <v>69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15" hidden="false" customHeight="true" outlineLevel="0" collapsed="false">
      <c r="A17" s="17" t="s">
        <v>94</v>
      </c>
      <c r="B17" s="30" t="n">
        <f aca="false">'Volume-Price'!B16</f>
        <v>0</v>
      </c>
      <c r="C17" s="30" t="n">
        <f aca="false">'Volume-Price'!C16</f>
        <v>0</v>
      </c>
      <c r="D17" s="30" t="n">
        <f aca="false">'Volume-Price'!D16</f>
        <v>0</v>
      </c>
      <c r="E17" s="30" t="n">
        <f aca="false">'Volume-Price'!E16</f>
        <v>0</v>
      </c>
      <c r="F17" s="30" t="n">
        <f aca="false">'Volume-Price'!F16</f>
        <v>0</v>
      </c>
      <c r="G17" s="30" t="n">
        <f aca="false">'Volume-Price'!G16</f>
        <v>0</v>
      </c>
      <c r="H17" s="30" t="n">
        <f aca="false">'Volume-Price'!H16</f>
        <v>0</v>
      </c>
      <c r="I17" s="30" t="n">
        <f aca="false">'Volume-Price'!I16</f>
        <v>0</v>
      </c>
      <c r="J17" s="30" t="n">
        <f aca="false">'Volume-Price'!J16</f>
        <v>0</v>
      </c>
      <c r="K17" s="30" t="n">
        <f aca="false">'Volume-Price'!K16</f>
        <v>0</v>
      </c>
      <c r="L17" s="30" t="n">
        <f aca="false">'Volume-Price'!L16</f>
        <v>0</v>
      </c>
      <c r="M17" s="30" t="n">
        <f aca="false">'Volume-Price'!M16</f>
        <v>0</v>
      </c>
      <c r="N17" s="30" t="n">
        <f aca="false">'Volume-Price'!N16</f>
        <v>0</v>
      </c>
      <c r="O17" s="30" t="n">
        <f aca="false">'Volume-Price'!O16</f>
        <v>0</v>
      </c>
      <c r="P17" s="30" t="n">
        <f aca="false">'Volume-Price'!P16</f>
        <v>0</v>
      </c>
      <c r="Q17" s="30" t="n">
        <f aca="false">'Volume-Price'!Q16</f>
        <v>0</v>
      </c>
      <c r="R17" s="30" t="n">
        <f aca="false">'Volume-Price'!R16</f>
        <v>0</v>
      </c>
      <c r="S17" s="30" t="str">
        <f aca="false">'Volume-Price'!S16</f>
        <v/>
      </c>
      <c r="T17" s="30" t="str">
        <f aca="false">'Volume-Price'!T16</f>
        <v/>
      </c>
      <c r="U17" s="30" t="str">
        <f aca="false">'Volume-Price'!U16</f>
        <v/>
      </c>
      <c r="V17" s="30" t="str">
        <f aca="false">'Volume-Price'!V16</f>
        <v/>
      </c>
      <c r="W17" s="30" t="str">
        <f aca="false">'Volume-Price'!W16</f>
        <v/>
      </c>
      <c r="X17" s="30" t="str">
        <f aca="false">'Volume-Price'!X16</f>
        <v/>
      </c>
      <c r="Y17" s="30" t="str">
        <f aca="false">'Volume-Price'!Y16</f>
        <v/>
      </c>
      <c r="Z17" s="30" t="str">
        <f aca="false">'Volume-Price'!Z16</f>
        <v/>
      </c>
      <c r="AA17" s="30" t="str">
        <f aca="false">'Volume-Price'!AA16</f>
        <v/>
      </c>
      <c r="AB17" s="30" t="str">
        <f aca="false">'Volume-Price'!AB16</f>
        <v/>
      </c>
    </row>
    <row r="18" customFormat="false" ht="15" hidden="false" customHeight="true" outlineLevel="0" collapsed="false">
      <c r="A18" s="17" t="s">
        <v>95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customFormat="false" ht="15" hidden="false" customHeight="true" outlineLevel="0" collapsed="false">
      <c r="A19" s="17" t="s">
        <v>96</v>
      </c>
      <c r="B19" s="24" t="str">
        <f aca="false">IFERROR(IF(OR(B17="",B17=0,B18=""),"",B18/B17*100),"")</f>
        <v/>
      </c>
      <c r="C19" s="24" t="str">
        <f aca="false">IFERROR(IF(OR(C17="",C17=0,C18=""),"",C18/C17*100),"")</f>
        <v/>
      </c>
      <c r="D19" s="24" t="str">
        <f aca="false">IFERROR(IF(OR(D17="",D17=0,D18=""),"",D18/D17*100),"")</f>
        <v/>
      </c>
      <c r="E19" s="24" t="str">
        <f aca="false">IFERROR(IF(OR(E17="",E17=0,E18=""),"",E18/E17*100),"")</f>
        <v/>
      </c>
      <c r="F19" s="24" t="str">
        <f aca="false">IFERROR(IF(OR(F17="",F17=0,F18=""),"",F18/F17*100),"")</f>
        <v/>
      </c>
      <c r="G19" s="24" t="str">
        <f aca="false">IFERROR(IF(OR(G17="",G17=0,G18=""),"",G18/G17*100),"")</f>
        <v/>
      </c>
      <c r="H19" s="24" t="str">
        <f aca="false">IFERROR(IF(OR(H17="",H17=0,H18=""),"",H18/H17*100),"")</f>
        <v/>
      </c>
      <c r="I19" s="24" t="str">
        <f aca="false">IFERROR(IF(OR(I17="",I17=0,I18=""),"",I18/I17*100),"")</f>
        <v/>
      </c>
      <c r="J19" s="24" t="str">
        <f aca="false">IFERROR(IF(OR(J17="",J17=0,J18=""),"",J18/J17*100),"")</f>
        <v/>
      </c>
      <c r="K19" s="24" t="str">
        <f aca="false">IFERROR(IF(OR(K17="",K17=0,K18=""),"",K18/K17*100),"")</f>
        <v/>
      </c>
      <c r="L19" s="24" t="str">
        <f aca="false">IFERROR(IF(OR(L17="",L17=0,L18=""),"",L18/L17*100),"")</f>
        <v/>
      </c>
      <c r="M19" s="24" t="str">
        <f aca="false">IFERROR(IF(OR(M17="",M17=0,M18=""),"",M18/M17*100),"")</f>
        <v/>
      </c>
      <c r="N19" s="24" t="str">
        <f aca="false">IFERROR(IF(OR(N17="",N17=0,N18=""),"",N18/N17*100),"")</f>
        <v/>
      </c>
      <c r="O19" s="24" t="str">
        <f aca="false">IFERROR(IF(OR(O17="",O17=0,O18=""),"",O18/O17*100),"")</f>
        <v/>
      </c>
      <c r="P19" s="24" t="str">
        <f aca="false">IFERROR(IF(OR(P17="",P17=0,P18=""),"",P18/P17*100),"")</f>
        <v/>
      </c>
      <c r="Q19" s="24" t="str">
        <f aca="false">IFERROR(IF(OR(Q17="",Q17=0,Q18=""),"",Q18/Q17*100),"")</f>
        <v/>
      </c>
      <c r="R19" s="24" t="str">
        <f aca="false">IFERROR(IF(OR(R17="",R17=0,R18=""),"",R18/R17*100),"")</f>
        <v/>
      </c>
      <c r="S19" s="24" t="str">
        <f aca="false">IFERROR(IF(OR(S17="",S17=0,S18=""),"",S18/S17*100),"")</f>
        <v/>
      </c>
      <c r="T19" s="24" t="str">
        <f aca="false">IFERROR(IF(OR(T17="",T17=0,T18=""),"",T18/T17*100),"")</f>
        <v/>
      </c>
      <c r="U19" s="24" t="str">
        <f aca="false">IFERROR(IF(OR(U17="",U17=0,U18=""),"",U18/U17*100),"")</f>
        <v/>
      </c>
      <c r="V19" s="24" t="str">
        <f aca="false">IFERROR(IF(OR(V17="",V17=0,V18=""),"",V18/V17*100),"")</f>
        <v/>
      </c>
      <c r="W19" s="24" t="str">
        <f aca="false">IFERROR(IF(OR(W17="",W17=0,W18=""),"",W18/W17*100),"")</f>
        <v/>
      </c>
      <c r="X19" s="24" t="str">
        <f aca="false">IFERROR(IF(OR(X17="",X17=0,X18=""),"",X18/X17*100),"")</f>
        <v/>
      </c>
      <c r="Y19" s="24" t="str">
        <f aca="false">IFERROR(IF(OR(Y17="",Y17=0,Y18=""),"",Y18/Y17*100),"")</f>
        <v/>
      </c>
      <c r="Z19" s="24" t="str">
        <f aca="false">IFERROR(IF(OR(Z17="",Z17=0,Z18=""),"",Z18/Z17*100),"")</f>
        <v/>
      </c>
      <c r="AA19" s="24" t="str">
        <f aca="false">IFERROR(IF(OR(AA17="",AA17=0,AA18=""),"",AA18/AA17*100),"")</f>
        <v/>
      </c>
      <c r="AB19" s="24" t="str">
        <f aca="false">IFERROR(IF(OR(AB17="",AB17=0,AB18=""),"",AB18/AB17*100),"")</f>
        <v/>
      </c>
    </row>
    <row r="20" customFormat="false" ht="15" hidden="false" customHeight="true" outlineLevel="0" collapsed="false">
      <c r="A20" s="17" t="s">
        <v>97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9" t="str">
        <f aca="false">IF(Assumptions!S14="","",Assumptions!S14)</f>
        <v/>
      </c>
      <c r="T20" s="29" t="str">
        <f aca="false">IF(Assumptions!T14="","",Assumptions!T14)</f>
        <v/>
      </c>
      <c r="U20" s="29" t="str">
        <f aca="false">IF(Assumptions!U14="","",Assumptions!U14)</f>
        <v/>
      </c>
      <c r="V20" s="29" t="str">
        <f aca="false">IF(Assumptions!V14="","",Assumptions!V14)</f>
        <v/>
      </c>
      <c r="W20" s="29" t="str">
        <f aca="false">IF(Assumptions!W14="","",Assumptions!W14)</f>
        <v/>
      </c>
      <c r="X20" s="29" t="str">
        <f aca="false">IF(Assumptions!X14="","",Assumptions!X14)</f>
        <v/>
      </c>
      <c r="Y20" s="29" t="str">
        <f aca="false">IF(Assumptions!Y14="","",Assumptions!Y14)</f>
        <v/>
      </c>
      <c r="Z20" s="29" t="str">
        <f aca="false">IF(Assumptions!Z14="","",Assumptions!Z14)</f>
        <v/>
      </c>
      <c r="AA20" s="29" t="str">
        <f aca="false">IF(Assumptions!AA14="","",Assumptions!AA14)</f>
        <v/>
      </c>
      <c r="AB20" s="29" t="str">
        <f aca="false">IF(Assumptions!AB14="","",Assumptions!AB14)</f>
        <v/>
      </c>
    </row>
    <row r="21" customFormat="false" ht="15" hidden="false" customHeight="true" outlineLevel="0" collapsed="false">
      <c r="A21" s="17" t="s">
        <v>98</v>
      </c>
      <c r="B21" s="31" t="str">
        <f aca="false">IFERROR(IF(OR('Price Inputs'!B$6="",'Price Inputs'!$I$6=""),"",'Price Inputs'!B$6/'Price Inputs'!$I$6),"")</f>
        <v/>
      </c>
      <c r="C21" s="31" t="str">
        <f aca="false">IFERROR(IF(OR('Price Inputs'!C$6="",'Price Inputs'!$I$6=""),"",'Price Inputs'!C$6/'Price Inputs'!$I$6),"")</f>
        <v/>
      </c>
      <c r="D21" s="31" t="str">
        <f aca="false">IFERROR(IF(OR('Price Inputs'!D$6="",'Price Inputs'!$I$6=""),"",'Price Inputs'!D$6/'Price Inputs'!$I$6),"")</f>
        <v/>
      </c>
      <c r="E21" s="31" t="str">
        <f aca="false">IFERROR(IF(OR('Price Inputs'!E$6="",'Price Inputs'!$I$6=""),"",'Price Inputs'!E$6/'Price Inputs'!$I$6),"")</f>
        <v/>
      </c>
      <c r="F21" s="31" t="str">
        <f aca="false">IFERROR(IF(OR('Price Inputs'!F$6="",'Price Inputs'!$I$6=""),"",'Price Inputs'!F$6/'Price Inputs'!$I$6),"")</f>
        <v/>
      </c>
      <c r="G21" s="31" t="str">
        <f aca="false">IFERROR(IF(OR('Price Inputs'!G$6="",'Price Inputs'!$I$6=""),"",'Price Inputs'!G$6/'Price Inputs'!$I$6),"")</f>
        <v/>
      </c>
      <c r="H21" s="31" t="str">
        <f aca="false">IFERROR(IF(OR('Price Inputs'!H$6="",'Price Inputs'!$I$6=""),"",'Price Inputs'!H$6/'Price Inputs'!$I$6),"")</f>
        <v/>
      </c>
      <c r="I21" s="31" t="str">
        <f aca="false">IFERROR(IF(OR('Price Inputs'!I$6="",'Price Inputs'!$I$6=""),"",'Price Inputs'!I$6/'Price Inputs'!$I$6),"")</f>
        <v/>
      </c>
      <c r="J21" s="31" t="str">
        <f aca="false">IFERROR(IF(OR('Price Inputs'!J$6="",'Price Inputs'!$I$6=""),"",'Price Inputs'!J$6/'Price Inputs'!$I$6),"")</f>
        <v/>
      </c>
      <c r="K21" s="31" t="str">
        <f aca="false">IFERROR(IF(OR('Price Inputs'!K$6="",'Price Inputs'!$I$6=""),"",'Price Inputs'!K$6/'Price Inputs'!$I$6),"")</f>
        <v/>
      </c>
      <c r="L21" s="31" t="str">
        <f aca="false">IFERROR(IF(OR('Price Inputs'!L$6="",'Price Inputs'!$I$6=""),"",'Price Inputs'!L$6/'Price Inputs'!$I$6),"")</f>
        <v/>
      </c>
      <c r="M21" s="31" t="str">
        <f aca="false">IFERROR(IF(OR('Price Inputs'!M$6="",'Price Inputs'!$I$6=""),"",'Price Inputs'!M$6/'Price Inputs'!$I$6),"")</f>
        <v/>
      </c>
      <c r="N21" s="31" t="str">
        <f aca="false">IFERROR(IF(OR('Price Inputs'!N$6="",'Price Inputs'!$I$6=""),"",'Price Inputs'!N$6/'Price Inputs'!$I$6),"")</f>
        <v/>
      </c>
      <c r="O21" s="31" t="str">
        <f aca="false">IFERROR(IF(OR('Price Inputs'!O$6="",'Price Inputs'!$I$6=""),"",'Price Inputs'!O$6/'Price Inputs'!$I$6),"")</f>
        <v/>
      </c>
      <c r="P21" s="31" t="str">
        <f aca="false">IFERROR(IF(OR('Price Inputs'!P$6="",'Price Inputs'!$I$6=""),"",'Price Inputs'!P$6/'Price Inputs'!$I$6),"")</f>
        <v/>
      </c>
      <c r="Q21" s="31" t="str">
        <f aca="false">IFERROR(IF(OR('Price Inputs'!Q$6="",'Price Inputs'!$I$6=""),"",'Price Inputs'!Q$6/'Price Inputs'!$I$6),"")</f>
        <v/>
      </c>
      <c r="R21" s="31" t="str">
        <f aca="false">IFERROR(IF(OR('Price Inputs'!R$6="",'Price Inputs'!$I$6=""),"",'Price Inputs'!R$6/'Price Inputs'!$I$6),"")</f>
        <v/>
      </c>
      <c r="S21" s="31" t="str">
        <f aca="false">IFERROR(IF(OR('Price Inputs'!S$6="",'Price Inputs'!$I$6=""),"",'Price Inputs'!S$6/'Price Inputs'!$I$6),"")</f>
        <v/>
      </c>
      <c r="T21" s="31" t="str">
        <f aca="false">IFERROR(IF(OR('Price Inputs'!T$6="",'Price Inputs'!$I$6=""),"",'Price Inputs'!T$6/'Price Inputs'!$I$6),"")</f>
        <v/>
      </c>
      <c r="U21" s="31" t="str">
        <f aca="false">IFERROR(IF(OR('Price Inputs'!U$6="",'Price Inputs'!$I$6=""),"",'Price Inputs'!U$6/'Price Inputs'!$I$6),"")</f>
        <v/>
      </c>
      <c r="V21" s="31" t="str">
        <f aca="false">IFERROR(IF(OR('Price Inputs'!V$6="",'Price Inputs'!$I$6=""),"",'Price Inputs'!V$6/'Price Inputs'!$I$6),"")</f>
        <v/>
      </c>
      <c r="W21" s="31" t="str">
        <f aca="false">IFERROR(IF(OR('Price Inputs'!W$6="",'Price Inputs'!$I$6=""),"",'Price Inputs'!W$6/'Price Inputs'!$I$6),"")</f>
        <v/>
      </c>
      <c r="X21" s="31" t="str">
        <f aca="false">IFERROR(IF(OR('Price Inputs'!X$6="",'Price Inputs'!$I$6=""),"",'Price Inputs'!X$6/'Price Inputs'!$I$6),"")</f>
        <v/>
      </c>
      <c r="Y21" s="31" t="str">
        <f aca="false">IFERROR(IF(OR('Price Inputs'!Y$6="",'Price Inputs'!$I$6=""),"",'Price Inputs'!Y$6/'Price Inputs'!$I$6),"")</f>
        <v/>
      </c>
      <c r="Z21" s="31" t="str">
        <f aca="false">IFERROR(IF(OR('Price Inputs'!Z$6="",'Price Inputs'!$I$6=""),"",'Price Inputs'!Z$6/'Price Inputs'!$I$6),"")</f>
        <v/>
      </c>
      <c r="AA21" s="31" t="str">
        <f aca="false">IFERROR(IF(OR('Price Inputs'!AA$6="",'Price Inputs'!$I$6=""),"",'Price Inputs'!AA$6/'Price Inputs'!$I$6),"")</f>
        <v/>
      </c>
      <c r="AB21" s="31" t="str">
        <f aca="false">IFERROR(IF(OR('Price Inputs'!AB$6="",'Price Inputs'!$I$6=""),"",'Price Inputs'!AB$6/'Price Inputs'!$I$6),"")</f>
        <v/>
      </c>
    </row>
    <row r="22" customFormat="false" ht="15" hidden="false" customHeight="true" outlineLevel="0" collapsed="false">
      <c r="A22" s="17" t="s">
        <v>99</v>
      </c>
      <c r="B22" s="32" t="str">
        <f aca="false">IF(B19="","",1)</f>
        <v/>
      </c>
      <c r="C22" s="32" t="str">
        <f aca="false">IF(C19="","",1)</f>
        <v/>
      </c>
      <c r="D22" s="32" t="str">
        <f aca="false">IF(D19="","",1)</f>
        <v/>
      </c>
      <c r="E22" s="32" t="str">
        <f aca="false">IF(E19="","",1)</f>
        <v/>
      </c>
      <c r="F22" s="32" t="str">
        <f aca="false">IF(F19="","",1)</f>
        <v/>
      </c>
      <c r="G22" s="32" t="str">
        <f aca="false">IF(G19="","",1)</f>
        <v/>
      </c>
      <c r="H22" s="32" t="str">
        <f aca="false">IF(H19="","",1)</f>
        <v/>
      </c>
      <c r="I22" s="32" t="str">
        <f aca="false">IF(I19="","",1)</f>
        <v/>
      </c>
      <c r="J22" s="32" t="str">
        <f aca="false">IF(J19="","",1)</f>
        <v/>
      </c>
      <c r="K22" s="32" t="str">
        <f aca="false">IF(K19="","",1)</f>
        <v/>
      </c>
      <c r="L22" s="32" t="str">
        <f aca="false">IF(L19="","",1)</f>
        <v/>
      </c>
      <c r="M22" s="32" t="str">
        <f aca="false">IF(M19="","",1)</f>
        <v/>
      </c>
      <c r="N22" s="32" t="str">
        <f aca="false">IF(N19="","",1)</f>
        <v/>
      </c>
      <c r="O22" s="32" t="str">
        <f aca="false">IF(O19="","",1)</f>
        <v/>
      </c>
      <c r="P22" s="32" t="str">
        <f aca="false">IF(P19="","",1)</f>
        <v/>
      </c>
      <c r="Q22" s="32" t="str">
        <f aca="false">IF(Q19="","",1)</f>
        <v/>
      </c>
      <c r="R22" s="32" t="str">
        <f aca="false">IF(R19="","",1)</f>
        <v/>
      </c>
      <c r="S22" s="31" t="str">
        <f aca="false">IF(Assumptions!S15="","",1*(1+Assumptions!S15))</f>
        <v/>
      </c>
      <c r="T22" s="31" t="str">
        <f aca="false">IF(Assumptions!T15="","",S22*(1+Assumptions!T15))</f>
        <v/>
      </c>
      <c r="U22" s="31" t="str">
        <f aca="false">IF(Assumptions!U15="","",T22*(1+Assumptions!U15))</f>
        <v/>
      </c>
      <c r="V22" s="31" t="str">
        <f aca="false">IF(Assumptions!V15="","",1*(1+Assumptions!V15))</f>
        <v/>
      </c>
      <c r="W22" s="31" t="str">
        <f aca="false">IF(Assumptions!W15="","",V22*(1+Assumptions!W15))</f>
        <v/>
      </c>
      <c r="X22" s="31" t="str">
        <f aca="false">IF(Assumptions!X15="","",W22*(1+Assumptions!X15))</f>
        <v/>
      </c>
      <c r="Y22" s="31" t="str">
        <f aca="false">IF(Assumptions!Y15="","",X22*(1+Assumptions!Y15))</f>
        <v/>
      </c>
      <c r="Z22" s="31" t="str">
        <f aca="false">IF(Assumptions!Z15="","",Y22*(1+Assumptions!Z15))</f>
        <v/>
      </c>
      <c r="AA22" s="31" t="str">
        <f aca="false">IF(Assumptions!AA15="","",Z22*(1+Assumptions!AA15))</f>
        <v/>
      </c>
      <c r="AB22" s="31" t="str">
        <f aca="false">IF(Assumptions!AB15="","",AA22*(1+Assumptions!AB15))</f>
        <v/>
      </c>
    </row>
    <row r="23" customFormat="false" ht="15" hidden="false" customHeight="true" outlineLevel="0" collapsed="false">
      <c r="A23" s="17" t="s">
        <v>100</v>
      </c>
      <c r="B23" s="24" t="str">
        <f aca="false">IF(B19="","",B19)</f>
        <v/>
      </c>
      <c r="C23" s="24" t="str">
        <f aca="false">IF(C19="","",C19)</f>
        <v/>
      </c>
      <c r="D23" s="24" t="str">
        <f aca="false">IF(D19="","",D19)</f>
        <v/>
      </c>
      <c r="E23" s="24" t="str">
        <f aca="false">IF(E19="","",E19)</f>
        <v/>
      </c>
      <c r="F23" s="24" t="str">
        <f aca="false">IF(F19="","",F19)</f>
        <v/>
      </c>
      <c r="G23" s="24" t="str">
        <f aca="false">IF(G19="","",G19)</f>
        <v/>
      </c>
      <c r="H23" s="24" t="str">
        <f aca="false">IF(H19="","",H19)</f>
        <v/>
      </c>
      <c r="I23" s="24" t="str">
        <f aca="false">IF(I19="","",I19)</f>
        <v/>
      </c>
      <c r="J23" s="24" t="str">
        <f aca="false">IF(J19="","",J19)</f>
        <v/>
      </c>
      <c r="K23" s="24" t="str">
        <f aca="false">IF(K19="","",K19)</f>
        <v/>
      </c>
      <c r="L23" s="24" t="str">
        <f aca="false">IF(L19="","",L19)</f>
        <v/>
      </c>
      <c r="M23" s="24" t="str">
        <f aca="false">IF(M19="","",M19)</f>
        <v/>
      </c>
      <c r="N23" s="24" t="str">
        <f aca="false">IF(N19="","",N19)</f>
        <v/>
      </c>
      <c r="O23" s="24" t="str">
        <f aca="false">IF(O19="","",O19)</f>
        <v/>
      </c>
      <c r="P23" s="24" t="str">
        <f aca="false">IF(P19="","",P19)</f>
        <v/>
      </c>
      <c r="Q23" s="24" t="str">
        <f aca="false">IF(Q19="","",Q19)</f>
        <v/>
      </c>
      <c r="R23" s="24" t="str">
        <f aca="false">IF(R19="","",R19)</f>
        <v/>
      </c>
      <c r="S23" s="24" t="str">
        <f aca="false">IF(OR($I$19="",S20="",S21="",S22=""),"",$I$19*(S20*S21+(1-S20)*S22))</f>
        <v/>
      </c>
      <c r="T23" s="24" t="str">
        <f aca="false">IF(OR($I$19="",T20="",T21="",T22=""),"",$I$19*(T20*T21+(1-T20)*T22))</f>
        <v/>
      </c>
      <c r="U23" s="24" t="str">
        <f aca="false">IF(OR($I$19="",U20="",U21="",U22=""),"",$I$19*(U20*U21+(1-U20)*U22))</f>
        <v/>
      </c>
      <c r="V23" s="24" t="str">
        <f aca="false">IF(OR($I$19="",V20="",V21="",V22=""),"",$I$19*(V20*V21+(1-V20)*V22))</f>
        <v/>
      </c>
      <c r="W23" s="24" t="str">
        <f aca="false">IF(OR($I$19="",W20="",W21="",W22=""),"",$I$19*(W20*W21+(1-W20)*W22))</f>
        <v/>
      </c>
      <c r="X23" s="24" t="str">
        <f aca="false">IF(OR($I$19="",X20="",X21="",X22=""),"",$I$19*(X20*X21+(1-X20)*X22))</f>
        <v/>
      </c>
      <c r="Y23" s="24" t="str">
        <f aca="false">IF(OR($I$19="",Y20="",Y21="",Y22=""),"",$I$19*(Y20*Y21+(1-Y20)*Y22))</f>
        <v/>
      </c>
      <c r="Z23" s="24" t="str">
        <f aca="false">IF(OR($I$19="",Z20="",Z21="",Z22=""),"",$I$19*(Z20*Z21+(1-Z20)*Z22))</f>
        <v/>
      </c>
      <c r="AA23" s="24" t="str">
        <f aca="false">IF(OR($I$19="",AA20="",AA21="",AA22=""),"",$I$19*(AA20*AA21+(1-AA20)*AA22))</f>
        <v/>
      </c>
      <c r="AB23" s="24" t="str">
        <f aca="false">IF(OR($I$19="",AB20="",AB21="",AB22=""),"",$I$19*(AB20*AB21+(1-AB20)*AB22))</f>
        <v/>
      </c>
    </row>
    <row r="24" customFormat="false" ht="15" hidden="false" customHeight="true" outlineLevel="0" collapsed="false">
      <c r="A24" s="17" t="s">
        <v>101</v>
      </c>
      <c r="B24" s="27" t="str">
        <f aca="false">IF(B18="","",B18)</f>
        <v/>
      </c>
      <c r="C24" s="27" t="str">
        <f aca="false">IF(C18="","",C18)</f>
        <v/>
      </c>
      <c r="D24" s="27" t="str">
        <f aca="false">IF(D18="","",D18)</f>
        <v/>
      </c>
      <c r="E24" s="27" t="str">
        <f aca="false">IF(E18="","",E18)</f>
        <v/>
      </c>
      <c r="F24" s="27" t="str">
        <f aca="false">IF(F18="","",F18)</f>
        <v/>
      </c>
      <c r="G24" s="27" t="str">
        <f aca="false">IF(G18="","",G18)</f>
        <v/>
      </c>
      <c r="H24" s="27" t="str">
        <f aca="false">IF(H18="","",H18)</f>
        <v/>
      </c>
      <c r="I24" s="27" t="str">
        <f aca="false">IF(I18="","",I18)</f>
        <v/>
      </c>
      <c r="J24" s="27" t="str">
        <f aca="false">IF(J18="","",J18)</f>
        <v/>
      </c>
      <c r="K24" s="27" t="str">
        <f aca="false">IF(K18="","",K18)</f>
        <v/>
      </c>
      <c r="L24" s="27" t="str">
        <f aca="false">IF(L18="","",L18)</f>
        <v/>
      </c>
      <c r="M24" s="27" t="str">
        <f aca="false">IF(M18="","",M18)</f>
        <v/>
      </c>
      <c r="N24" s="27" t="str">
        <f aca="false">IF(N18="","",N18)</f>
        <v/>
      </c>
      <c r="O24" s="27" t="str">
        <f aca="false">IF(O18="","",O18)</f>
        <v/>
      </c>
      <c r="P24" s="27" t="str">
        <f aca="false">IF(P18="","",P18)</f>
        <v/>
      </c>
      <c r="Q24" s="27" t="str">
        <f aca="false">IF(Q18="","",Q18)</f>
        <v/>
      </c>
      <c r="R24" s="27" t="str">
        <f aca="false">IF(R18="","",R18)</f>
        <v/>
      </c>
      <c r="S24" s="27" t="str">
        <f aca="false">IF(OR(S17="",S23=""),"",S17*S23/100)</f>
        <v/>
      </c>
      <c r="T24" s="27" t="str">
        <f aca="false">IF(OR(T17="",T23=""),"",T17*T23/100)</f>
        <v/>
      </c>
      <c r="U24" s="27" t="str">
        <f aca="false">IF(OR(U17="",U23=""),"",U17*U23/100)</f>
        <v/>
      </c>
      <c r="V24" s="27" t="str">
        <f aca="false">IF(OR(V17="",V23=""),"",V17*V23/100)</f>
        <v/>
      </c>
      <c r="W24" s="27" t="str">
        <f aca="false">IF(OR(W17="",W23=""),"",W17*W23/100)</f>
        <v/>
      </c>
      <c r="X24" s="27" t="str">
        <f aca="false">IF(OR(X17="",X23=""),"",X17*X23/100)</f>
        <v/>
      </c>
      <c r="Y24" s="27" t="str">
        <f aca="false">IF(OR(Y17="",Y23=""),"",Y17*Y23/100)</f>
        <v/>
      </c>
      <c r="Z24" s="27" t="str">
        <f aca="false">IF(OR(Z17="",Z23=""),"",Z17*Z23/100)</f>
        <v/>
      </c>
      <c r="AA24" s="27" t="str">
        <f aca="false">IF(OR(AA17="",AA23=""),"",AA17*AA23/100)</f>
        <v/>
      </c>
      <c r="AB24" s="27" t="str">
        <f aca="false">IF(OR(AB17="",AB23=""),"",AB17*AB23/100)</f>
        <v/>
      </c>
    </row>
    <row r="25" customFormat="false" ht="15" hidden="false" customHeight="true" outlineLevel="0" collapsed="false">
      <c r="A25" s="2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customFormat="false" ht="15" hidden="false" customHeight="true" outlineLevel="0" collapsed="false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customFormat="false" ht="15" hidden="false" customHeight="true" outlineLevel="0" collapsed="false">
      <c r="A27" s="16" t="s">
        <v>70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customFormat="false" ht="15" hidden="false" customHeight="true" outlineLevel="0" collapsed="false">
      <c r="A28" s="17" t="s">
        <v>94</v>
      </c>
      <c r="B28" s="30" t="n">
        <f aca="false">'Volume-Price'!B26</f>
        <v>0</v>
      </c>
      <c r="C28" s="30" t="n">
        <f aca="false">'Volume-Price'!C26</f>
        <v>0</v>
      </c>
      <c r="D28" s="30" t="n">
        <f aca="false">'Volume-Price'!D26</f>
        <v>0</v>
      </c>
      <c r="E28" s="30" t="n">
        <f aca="false">'Volume-Price'!E26</f>
        <v>0</v>
      </c>
      <c r="F28" s="30" t="n">
        <f aca="false">'Volume-Price'!F26</f>
        <v>0</v>
      </c>
      <c r="G28" s="30" t="n">
        <f aca="false">'Volume-Price'!G26</f>
        <v>0</v>
      </c>
      <c r="H28" s="30" t="n">
        <f aca="false">'Volume-Price'!H26</f>
        <v>0</v>
      </c>
      <c r="I28" s="30" t="n">
        <f aca="false">'Volume-Price'!I26</f>
        <v>0</v>
      </c>
      <c r="J28" s="30" t="n">
        <f aca="false">'Volume-Price'!J26</f>
        <v>0</v>
      </c>
      <c r="K28" s="30" t="n">
        <f aca="false">'Volume-Price'!K26</f>
        <v>0</v>
      </c>
      <c r="L28" s="30" t="n">
        <f aca="false">'Volume-Price'!L26</f>
        <v>0</v>
      </c>
      <c r="M28" s="30" t="n">
        <f aca="false">'Volume-Price'!M26</f>
        <v>0</v>
      </c>
      <c r="N28" s="30" t="n">
        <f aca="false">'Volume-Price'!N26</f>
        <v>0</v>
      </c>
      <c r="O28" s="30" t="n">
        <f aca="false">'Volume-Price'!O26</f>
        <v>0</v>
      </c>
      <c r="P28" s="30" t="n">
        <f aca="false">'Volume-Price'!P26</f>
        <v>0</v>
      </c>
      <c r="Q28" s="30" t="n">
        <f aca="false">'Volume-Price'!Q26</f>
        <v>0</v>
      </c>
      <c r="R28" s="30" t="n">
        <f aca="false">'Volume-Price'!R26</f>
        <v>0</v>
      </c>
      <c r="S28" s="30" t="str">
        <f aca="false">'Volume-Price'!S26</f>
        <v/>
      </c>
      <c r="T28" s="30" t="str">
        <f aca="false">'Volume-Price'!T26</f>
        <v/>
      </c>
      <c r="U28" s="30" t="str">
        <f aca="false">'Volume-Price'!U26</f>
        <v/>
      </c>
      <c r="V28" s="30" t="str">
        <f aca="false">'Volume-Price'!V26</f>
        <v/>
      </c>
      <c r="W28" s="30" t="str">
        <f aca="false">'Volume-Price'!W26</f>
        <v/>
      </c>
      <c r="X28" s="30" t="str">
        <f aca="false">'Volume-Price'!X26</f>
        <v/>
      </c>
      <c r="Y28" s="30" t="str">
        <f aca="false">'Volume-Price'!Y26</f>
        <v/>
      </c>
      <c r="Z28" s="30" t="str">
        <f aca="false">'Volume-Price'!Z26</f>
        <v/>
      </c>
      <c r="AA28" s="30" t="str">
        <f aca="false">'Volume-Price'!AA26</f>
        <v/>
      </c>
      <c r="AB28" s="30" t="str">
        <f aca="false">'Volume-Price'!AB26</f>
        <v/>
      </c>
    </row>
    <row r="29" customFormat="false" ht="15" hidden="false" customHeight="true" outlineLevel="0" collapsed="false">
      <c r="A29" s="17" t="s">
        <v>95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customFormat="false" ht="15" hidden="false" customHeight="true" outlineLevel="0" collapsed="false">
      <c r="A30" s="17" t="s">
        <v>96</v>
      </c>
      <c r="B30" s="24" t="str">
        <f aca="false">IFERROR(IF(OR(B28="",B28=0,B29=""),"",B29/B28*100),"")</f>
        <v/>
      </c>
      <c r="C30" s="24" t="str">
        <f aca="false">IFERROR(IF(OR(C28="",C28=0,C29=""),"",C29/C28*100),"")</f>
        <v/>
      </c>
      <c r="D30" s="24" t="str">
        <f aca="false">IFERROR(IF(OR(D28="",D28=0,D29=""),"",D29/D28*100),"")</f>
        <v/>
      </c>
      <c r="E30" s="24" t="str">
        <f aca="false">IFERROR(IF(OR(E28="",E28=0,E29=""),"",E29/E28*100),"")</f>
        <v/>
      </c>
      <c r="F30" s="24" t="str">
        <f aca="false">IFERROR(IF(OR(F28="",F28=0,F29=""),"",F29/F28*100),"")</f>
        <v/>
      </c>
      <c r="G30" s="24" t="str">
        <f aca="false">IFERROR(IF(OR(G28="",G28=0,G29=""),"",G29/G28*100),"")</f>
        <v/>
      </c>
      <c r="H30" s="24" t="str">
        <f aca="false">IFERROR(IF(OR(H28="",H28=0,H29=""),"",H29/H28*100),"")</f>
        <v/>
      </c>
      <c r="I30" s="24" t="str">
        <f aca="false">IFERROR(IF(OR(I28="",I28=0,I29=""),"",I29/I28*100),"")</f>
        <v/>
      </c>
      <c r="J30" s="24" t="str">
        <f aca="false">IFERROR(IF(OR(J28="",J28=0,J29=""),"",J29/J28*100),"")</f>
        <v/>
      </c>
      <c r="K30" s="24" t="str">
        <f aca="false">IFERROR(IF(OR(K28="",K28=0,K29=""),"",K29/K28*100),"")</f>
        <v/>
      </c>
      <c r="L30" s="24" t="str">
        <f aca="false">IFERROR(IF(OR(L28="",L28=0,L29=""),"",L29/L28*100),"")</f>
        <v/>
      </c>
      <c r="M30" s="24" t="str">
        <f aca="false">IFERROR(IF(OR(M28="",M28=0,M29=""),"",M29/M28*100),"")</f>
        <v/>
      </c>
      <c r="N30" s="24" t="str">
        <f aca="false">IFERROR(IF(OR(N28="",N28=0,N29=""),"",N29/N28*100),"")</f>
        <v/>
      </c>
      <c r="O30" s="24" t="str">
        <f aca="false">IFERROR(IF(OR(O28="",O28=0,O29=""),"",O29/O28*100),"")</f>
        <v/>
      </c>
      <c r="P30" s="24" t="str">
        <f aca="false">IFERROR(IF(OR(P28="",P28=0,P29=""),"",P29/P28*100),"")</f>
        <v/>
      </c>
      <c r="Q30" s="24" t="str">
        <f aca="false">IFERROR(IF(OR(Q28="",Q28=0,Q29=""),"",Q29/Q28*100),"")</f>
        <v/>
      </c>
      <c r="R30" s="24" t="str">
        <f aca="false">IFERROR(IF(OR(R28="",R28=0,R29=""),"",R29/R28*100),"")</f>
        <v/>
      </c>
      <c r="S30" s="24" t="str">
        <f aca="false">IFERROR(IF(OR(S28="",S28=0,S29=""),"",S29/S28*100),"")</f>
        <v/>
      </c>
      <c r="T30" s="24" t="str">
        <f aca="false">IFERROR(IF(OR(T28="",T28=0,T29=""),"",T29/T28*100),"")</f>
        <v/>
      </c>
      <c r="U30" s="24" t="str">
        <f aca="false">IFERROR(IF(OR(U28="",U28=0,U29=""),"",U29/U28*100),"")</f>
        <v/>
      </c>
      <c r="V30" s="24" t="str">
        <f aca="false">IFERROR(IF(OR(V28="",V28=0,V29=""),"",V29/V28*100),"")</f>
        <v/>
      </c>
      <c r="W30" s="24" t="str">
        <f aca="false">IFERROR(IF(OR(W28="",W28=0,W29=""),"",W29/W28*100),"")</f>
        <v/>
      </c>
      <c r="X30" s="24" t="str">
        <f aca="false">IFERROR(IF(OR(X28="",X28=0,X29=""),"",X29/X28*100),"")</f>
        <v/>
      </c>
      <c r="Y30" s="24" t="str">
        <f aca="false">IFERROR(IF(OR(Y28="",Y28=0,Y29=""),"",Y29/Y28*100),"")</f>
        <v/>
      </c>
      <c r="Z30" s="24" t="str">
        <f aca="false">IFERROR(IF(OR(Z28="",Z28=0,Z29=""),"",Z29/Z28*100),"")</f>
        <v/>
      </c>
      <c r="AA30" s="24" t="str">
        <f aca="false">IFERROR(IF(OR(AA28="",AA28=0,AA29=""),"",AA29/AA28*100),"")</f>
        <v/>
      </c>
      <c r="AB30" s="24" t="str">
        <f aca="false">IFERROR(IF(OR(AB28="",AB28=0,AB29=""),"",AB29/AB28*100),"")</f>
        <v/>
      </c>
    </row>
    <row r="31" customFormat="false" ht="15" hidden="false" customHeight="true" outlineLevel="0" collapsed="false">
      <c r="A31" s="17" t="s">
        <v>97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9" t="str">
        <f aca="false">IF(Assumptions!S20="","",Assumptions!S20)</f>
        <v/>
      </c>
      <c r="T31" s="29" t="str">
        <f aca="false">IF(Assumptions!T20="","",Assumptions!T20)</f>
        <v/>
      </c>
      <c r="U31" s="29" t="str">
        <f aca="false">IF(Assumptions!U20="","",Assumptions!U20)</f>
        <v/>
      </c>
      <c r="V31" s="29" t="str">
        <f aca="false">IF(Assumptions!V20="","",Assumptions!V20)</f>
        <v/>
      </c>
      <c r="W31" s="29" t="str">
        <f aca="false">IF(Assumptions!W20="","",Assumptions!W20)</f>
        <v/>
      </c>
      <c r="X31" s="29" t="str">
        <f aca="false">IF(Assumptions!X20="","",Assumptions!X20)</f>
        <v/>
      </c>
      <c r="Y31" s="29" t="str">
        <f aca="false">IF(Assumptions!Y20="","",Assumptions!Y20)</f>
        <v/>
      </c>
      <c r="Z31" s="29" t="str">
        <f aca="false">IF(Assumptions!Z20="","",Assumptions!Z20)</f>
        <v/>
      </c>
      <c r="AA31" s="29" t="str">
        <f aca="false">IF(Assumptions!AA20="","",Assumptions!AA20)</f>
        <v/>
      </c>
      <c r="AB31" s="29" t="str">
        <f aca="false">IF(Assumptions!AB20="","",Assumptions!AB20)</f>
        <v/>
      </c>
    </row>
    <row r="32" customFormat="false" ht="15" hidden="false" customHeight="true" outlineLevel="0" collapsed="false">
      <c r="A32" s="17" t="s">
        <v>98</v>
      </c>
      <c r="B32" s="31" t="str">
        <f aca="false">IFERROR(IF(OR('Price Inputs'!B$6="",'Price Inputs'!$I$6=""),"",'Price Inputs'!B$6/'Price Inputs'!$I$6),"")</f>
        <v/>
      </c>
      <c r="C32" s="31" t="str">
        <f aca="false">IFERROR(IF(OR('Price Inputs'!C$6="",'Price Inputs'!$I$6=""),"",'Price Inputs'!C$6/'Price Inputs'!$I$6),"")</f>
        <v/>
      </c>
      <c r="D32" s="31" t="str">
        <f aca="false">IFERROR(IF(OR('Price Inputs'!D$6="",'Price Inputs'!$I$6=""),"",'Price Inputs'!D$6/'Price Inputs'!$I$6),"")</f>
        <v/>
      </c>
      <c r="E32" s="31" t="str">
        <f aca="false">IFERROR(IF(OR('Price Inputs'!E$6="",'Price Inputs'!$I$6=""),"",'Price Inputs'!E$6/'Price Inputs'!$I$6),"")</f>
        <v/>
      </c>
      <c r="F32" s="31" t="str">
        <f aca="false">IFERROR(IF(OR('Price Inputs'!F$6="",'Price Inputs'!$I$6=""),"",'Price Inputs'!F$6/'Price Inputs'!$I$6),"")</f>
        <v/>
      </c>
      <c r="G32" s="31" t="str">
        <f aca="false">IFERROR(IF(OR('Price Inputs'!G$6="",'Price Inputs'!$I$6=""),"",'Price Inputs'!G$6/'Price Inputs'!$I$6),"")</f>
        <v/>
      </c>
      <c r="H32" s="31" t="str">
        <f aca="false">IFERROR(IF(OR('Price Inputs'!H$6="",'Price Inputs'!$I$6=""),"",'Price Inputs'!H$6/'Price Inputs'!$I$6),"")</f>
        <v/>
      </c>
      <c r="I32" s="31" t="str">
        <f aca="false">IFERROR(IF(OR('Price Inputs'!I$6="",'Price Inputs'!$I$6=""),"",'Price Inputs'!I$6/'Price Inputs'!$I$6),"")</f>
        <v/>
      </c>
      <c r="J32" s="31" t="str">
        <f aca="false">IFERROR(IF(OR('Price Inputs'!J$6="",'Price Inputs'!$I$6=""),"",'Price Inputs'!J$6/'Price Inputs'!$I$6),"")</f>
        <v/>
      </c>
      <c r="K32" s="31" t="str">
        <f aca="false">IFERROR(IF(OR('Price Inputs'!K$6="",'Price Inputs'!$I$6=""),"",'Price Inputs'!K$6/'Price Inputs'!$I$6),"")</f>
        <v/>
      </c>
      <c r="L32" s="31" t="str">
        <f aca="false">IFERROR(IF(OR('Price Inputs'!L$6="",'Price Inputs'!$I$6=""),"",'Price Inputs'!L$6/'Price Inputs'!$I$6),"")</f>
        <v/>
      </c>
      <c r="M32" s="31" t="str">
        <f aca="false">IFERROR(IF(OR('Price Inputs'!M$6="",'Price Inputs'!$I$6=""),"",'Price Inputs'!M$6/'Price Inputs'!$I$6),"")</f>
        <v/>
      </c>
      <c r="N32" s="31" t="str">
        <f aca="false">IFERROR(IF(OR('Price Inputs'!N$6="",'Price Inputs'!$I$6=""),"",'Price Inputs'!N$6/'Price Inputs'!$I$6),"")</f>
        <v/>
      </c>
      <c r="O32" s="31" t="str">
        <f aca="false">IFERROR(IF(OR('Price Inputs'!O$6="",'Price Inputs'!$I$6=""),"",'Price Inputs'!O$6/'Price Inputs'!$I$6),"")</f>
        <v/>
      </c>
      <c r="P32" s="31" t="str">
        <f aca="false">IFERROR(IF(OR('Price Inputs'!P$6="",'Price Inputs'!$I$6=""),"",'Price Inputs'!P$6/'Price Inputs'!$I$6),"")</f>
        <v/>
      </c>
      <c r="Q32" s="31" t="str">
        <f aca="false">IFERROR(IF(OR('Price Inputs'!Q$6="",'Price Inputs'!$I$6=""),"",'Price Inputs'!Q$6/'Price Inputs'!$I$6),"")</f>
        <v/>
      </c>
      <c r="R32" s="31" t="str">
        <f aca="false">IFERROR(IF(OR('Price Inputs'!R$6="",'Price Inputs'!$I$6=""),"",'Price Inputs'!R$6/'Price Inputs'!$I$6),"")</f>
        <v/>
      </c>
      <c r="S32" s="31" t="str">
        <f aca="false">IFERROR(IF(OR('Price Inputs'!S$6="",'Price Inputs'!$I$6=""),"",'Price Inputs'!S$6/'Price Inputs'!$I$6),"")</f>
        <v/>
      </c>
      <c r="T32" s="31" t="str">
        <f aca="false">IFERROR(IF(OR('Price Inputs'!T$6="",'Price Inputs'!$I$6=""),"",'Price Inputs'!T$6/'Price Inputs'!$I$6),"")</f>
        <v/>
      </c>
      <c r="U32" s="31" t="str">
        <f aca="false">IFERROR(IF(OR('Price Inputs'!U$6="",'Price Inputs'!$I$6=""),"",'Price Inputs'!U$6/'Price Inputs'!$I$6),"")</f>
        <v/>
      </c>
      <c r="V32" s="31" t="str">
        <f aca="false">IFERROR(IF(OR('Price Inputs'!V$6="",'Price Inputs'!$I$6=""),"",'Price Inputs'!V$6/'Price Inputs'!$I$6),"")</f>
        <v/>
      </c>
      <c r="W32" s="31" t="str">
        <f aca="false">IFERROR(IF(OR('Price Inputs'!W$6="",'Price Inputs'!$I$6=""),"",'Price Inputs'!W$6/'Price Inputs'!$I$6),"")</f>
        <v/>
      </c>
      <c r="X32" s="31" t="str">
        <f aca="false">IFERROR(IF(OR('Price Inputs'!X$6="",'Price Inputs'!$I$6=""),"",'Price Inputs'!X$6/'Price Inputs'!$I$6),"")</f>
        <v/>
      </c>
      <c r="Y32" s="31" t="str">
        <f aca="false">IFERROR(IF(OR('Price Inputs'!Y$6="",'Price Inputs'!$I$6=""),"",'Price Inputs'!Y$6/'Price Inputs'!$I$6),"")</f>
        <v/>
      </c>
      <c r="Z32" s="31" t="str">
        <f aca="false">IFERROR(IF(OR('Price Inputs'!Z$6="",'Price Inputs'!$I$6=""),"",'Price Inputs'!Z$6/'Price Inputs'!$I$6),"")</f>
        <v/>
      </c>
      <c r="AA32" s="31" t="str">
        <f aca="false">IFERROR(IF(OR('Price Inputs'!AA$6="",'Price Inputs'!$I$6=""),"",'Price Inputs'!AA$6/'Price Inputs'!$I$6),"")</f>
        <v/>
      </c>
      <c r="AB32" s="31" t="str">
        <f aca="false">IFERROR(IF(OR('Price Inputs'!AB$6="",'Price Inputs'!$I$6=""),"",'Price Inputs'!AB$6/'Price Inputs'!$I$6),"")</f>
        <v/>
      </c>
    </row>
    <row r="33" customFormat="false" ht="15" hidden="false" customHeight="true" outlineLevel="0" collapsed="false">
      <c r="A33" s="17" t="s">
        <v>99</v>
      </c>
      <c r="B33" s="32" t="str">
        <f aca="false">IF(B30="","",1)</f>
        <v/>
      </c>
      <c r="C33" s="32" t="str">
        <f aca="false">IF(C30="","",1)</f>
        <v/>
      </c>
      <c r="D33" s="32" t="str">
        <f aca="false">IF(D30="","",1)</f>
        <v/>
      </c>
      <c r="E33" s="32" t="str">
        <f aca="false">IF(E30="","",1)</f>
        <v/>
      </c>
      <c r="F33" s="32" t="str">
        <f aca="false">IF(F30="","",1)</f>
        <v/>
      </c>
      <c r="G33" s="32" t="str">
        <f aca="false">IF(G30="","",1)</f>
        <v/>
      </c>
      <c r="H33" s="32" t="str">
        <f aca="false">IF(H30="","",1)</f>
        <v/>
      </c>
      <c r="I33" s="32" t="str">
        <f aca="false">IF(I30="","",1)</f>
        <v/>
      </c>
      <c r="J33" s="32" t="str">
        <f aca="false">IF(J30="","",1)</f>
        <v/>
      </c>
      <c r="K33" s="32" t="str">
        <f aca="false">IF(K30="","",1)</f>
        <v/>
      </c>
      <c r="L33" s="32" t="str">
        <f aca="false">IF(L30="","",1)</f>
        <v/>
      </c>
      <c r="M33" s="32" t="str">
        <f aca="false">IF(M30="","",1)</f>
        <v/>
      </c>
      <c r="N33" s="32" t="str">
        <f aca="false">IF(N30="","",1)</f>
        <v/>
      </c>
      <c r="O33" s="32" t="str">
        <f aca="false">IF(O30="","",1)</f>
        <v/>
      </c>
      <c r="P33" s="32" t="str">
        <f aca="false">IF(P30="","",1)</f>
        <v/>
      </c>
      <c r="Q33" s="32" t="str">
        <f aca="false">IF(Q30="","",1)</f>
        <v/>
      </c>
      <c r="R33" s="32" t="str">
        <f aca="false">IF(R30="","",1)</f>
        <v/>
      </c>
      <c r="S33" s="31" t="str">
        <f aca="false">IF(Assumptions!S21="","",1*(1+Assumptions!S21))</f>
        <v/>
      </c>
      <c r="T33" s="31" t="str">
        <f aca="false">IF(Assumptions!T21="","",S33*(1+Assumptions!T21))</f>
        <v/>
      </c>
      <c r="U33" s="31" t="str">
        <f aca="false">IF(Assumptions!U21="","",T33*(1+Assumptions!U21))</f>
        <v/>
      </c>
      <c r="V33" s="31" t="str">
        <f aca="false">IF(Assumptions!V21="","",1*(1+Assumptions!V21))</f>
        <v/>
      </c>
      <c r="W33" s="31" t="str">
        <f aca="false">IF(Assumptions!W21="","",V33*(1+Assumptions!W21))</f>
        <v/>
      </c>
      <c r="X33" s="31" t="str">
        <f aca="false">IF(Assumptions!X21="","",W33*(1+Assumptions!X21))</f>
        <v/>
      </c>
      <c r="Y33" s="31" t="str">
        <f aca="false">IF(Assumptions!Y21="","",X33*(1+Assumptions!Y21))</f>
        <v/>
      </c>
      <c r="Z33" s="31" t="str">
        <f aca="false">IF(Assumptions!Z21="","",Y33*(1+Assumptions!Z21))</f>
        <v/>
      </c>
      <c r="AA33" s="31" t="str">
        <f aca="false">IF(Assumptions!AA21="","",Z33*(1+Assumptions!AA21))</f>
        <v/>
      </c>
      <c r="AB33" s="31" t="str">
        <f aca="false">IF(Assumptions!AB21="","",AA33*(1+Assumptions!AB21))</f>
        <v/>
      </c>
    </row>
    <row r="34" customFormat="false" ht="15" hidden="false" customHeight="true" outlineLevel="0" collapsed="false">
      <c r="A34" s="17" t="s">
        <v>100</v>
      </c>
      <c r="B34" s="24" t="str">
        <f aca="false">IF(B30="","",B30)</f>
        <v/>
      </c>
      <c r="C34" s="24" t="str">
        <f aca="false">IF(C30="","",C30)</f>
        <v/>
      </c>
      <c r="D34" s="24" t="str">
        <f aca="false">IF(D30="","",D30)</f>
        <v/>
      </c>
      <c r="E34" s="24" t="str">
        <f aca="false">IF(E30="","",E30)</f>
        <v/>
      </c>
      <c r="F34" s="24" t="str">
        <f aca="false">IF(F30="","",F30)</f>
        <v/>
      </c>
      <c r="G34" s="24" t="str">
        <f aca="false">IF(G30="","",G30)</f>
        <v/>
      </c>
      <c r="H34" s="24" t="str">
        <f aca="false">IF(H30="","",H30)</f>
        <v/>
      </c>
      <c r="I34" s="24" t="str">
        <f aca="false">IF(I30="","",I30)</f>
        <v/>
      </c>
      <c r="J34" s="24" t="str">
        <f aca="false">IF(J30="","",J30)</f>
        <v/>
      </c>
      <c r="K34" s="24" t="str">
        <f aca="false">IF(K30="","",K30)</f>
        <v/>
      </c>
      <c r="L34" s="24" t="str">
        <f aca="false">IF(L30="","",L30)</f>
        <v/>
      </c>
      <c r="M34" s="24" t="str">
        <f aca="false">IF(M30="","",M30)</f>
        <v/>
      </c>
      <c r="N34" s="24" t="str">
        <f aca="false">IF(N30="","",N30)</f>
        <v/>
      </c>
      <c r="O34" s="24" t="str">
        <f aca="false">IF(O30="","",O30)</f>
        <v/>
      </c>
      <c r="P34" s="24" t="str">
        <f aca="false">IF(P30="","",P30)</f>
        <v/>
      </c>
      <c r="Q34" s="24" t="str">
        <f aca="false">IF(Q30="","",Q30)</f>
        <v/>
      </c>
      <c r="R34" s="24" t="str">
        <f aca="false">IF(R30="","",R30)</f>
        <v/>
      </c>
      <c r="S34" s="24" t="str">
        <f aca="false">IF(OR($I$30="",S31="",S32="",S33=""),"",$I$30*(S31*S32+(1-S31)*S33))</f>
        <v/>
      </c>
      <c r="T34" s="24" t="str">
        <f aca="false">IF(OR($I$30="",T31="",T32="",T33=""),"",$I$30*(T31*T32+(1-T31)*T33))</f>
        <v/>
      </c>
      <c r="U34" s="24" t="str">
        <f aca="false">IF(OR($I$30="",U31="",U32="",U33=""),"",$I$30*(U31*U32+(1-U31)*U33))</f>
        <v/>
      </c>
      <c r="V34" s="24" t="str">
        <f aca="false">IF(OR($I$30="",V31="",V32="",V33=""),"",$I$30*(V31*V32+(1-V31)*V33))</f>
        <v/>
      </c>
      <c r="W34" s="24" t="str">
        <f aca="false">IF(OR($I$30="",W31="",W32="",W33=""),"",$I$30*(W31*W32+(1-W31)*W33))</f>
        <v/>
      </c>
      <c r="X34" s="24" t="str">
        <f aca="false">IF(OR($I$30="",X31="",X32="",X33=""),"",$I$30*(X31*X32+(1-X31)*X33))</f>
        <v/>
      </c>
      <c r="Y34" s="24" t="str">
        <f aca="false">IF(OR($I$30="",Y31="",Y32="",Y33=""),"",$I$30*(Y31*Y32+(1-Y31)*Y33))</f>
        <v/>
      </c>
      <c r="Z34" s="24" t="str">
        <f aca="false">IF(OR($I$30="",Z31="",Z32="",Z33=""),"",$I$30*(Z31*Z32+(1-Z31)*Z33))</f>
        <v/>
      </c>
      <c r="AA34" s="24" t="str">
        <f aca="false">IF(OR($I$30="",AA31="",AA32="",AA33=""),"",$I$30*(AA31*AA32+(1-AA31)*AA33))</f>
        <v/>
      </c>
      <c r="AB34" s="24" t="str">
        <f aca="false">IF(OR($I$30="",AB31="",AB32="",AB33=""),"",$I$30*(AB31*AB32+(1-AB31)*AB33))</f>
        <v/>
      </c>
    </row>
    <row r="35" customFormat="false" ht="15" hidden="false" customHeight="true" outlineLevel="0" collapsed="false">
      <c r="A35" s="17" t="s">
        <v>101</v>
      </c>
      <c r="B35" s="27" t="str">
        <f aca="false">IF(B29="","",B29)</f>
        <v/>
      </c>
      <c r="C35" s="27" t="str">
        <f aca="false">IF(C29="","",C29)</f>
        <v/>
      </c>
      <c r="D35" s="27" t="str">
        <f aca="false">IF(D29="","",D29)</f>
        <v/>
      </c>
      <c r="E35" s="27" t="str">
        <f aca="false">IF(E29="","",E29)</f>
        <v/>
      </c>
      <c r="F35" s="27" t="str">
        <f aca="false">IF(F29="","",F29)</f>
        <v/>
      </c>
      <c r="G35" s="27" t="str">
        <f aca="false">IF(G29="","",G29)</f>
        <v/>
      </c>
      <c r="H35" s="27" t="str">
        <f aca="false">IF(H29="","",H29)</f>
        <v/>
      </c>
      <c r="I35" s="27" t="str">
        <f aca="false">IF(I29="","",I29)</f>
        <v/>
      </c>
      <c r="J35" s="27" t="str">
        <f aca="false">IF(J29="","",J29)</f>
        <v/>
      </c>
      <c r="K35" s="27" t="str">
        <f aca="false">IF(K29="","",K29)</f>
        <v/>
      </c>
      <c r="L35" s="27" t="str">
        <f aca="false">IF(L29="","",L29)</f>
        <v/>
      </c>
      <c r="M35" s="27" t="str">
        <f aca="false">IF(M29="","",M29)</f>
        <v/>
      </c>
      <c r="N35" s="27" t="str">
        <f aca="false">IF(N29="","",N29)</f>
        <v/>
      </c>
      <c r="O35" s="27" t="str">
        <f aca="false">IF(O29="","",O29)</f>
        <v/>
      </c>
      <c r="P35" s="27" t="str">
        <f aca="false">IF(P29="","",P29)</f>
        <v/>
      </c>
      <c r="Q35" s="27" t="str">
        <f aca="false">IF(Q29="","",Q29)</f>
        <v/>
      </c>
      <c r="R35" s="27" t="str">
        <f aca="false">IF(R29="","",R29)</f>
        <v/>
      </c>
      <c r="S35" s="27" t="str">
        <f aca="false">IF(OR(S28="",S34=""),"",S28*S34/100)</f>
        <v/>
      </c>
      <c r="T35" s="27" t="str">
        <f aca="false">IF(OR(T28="",T34=""),"",T28*T34/100)</f>
        <v/>
      </c>
      <c r="U35" s="27" t="str">
        <f aca="false">IF(OR(U28="",U34=""),"",U28*U34/100)</f>
        <v/>
      </c>
      <c r="V35" s="27" t="str">
        <f aca="false">IF(OR(V28="",V34=""),"",V28*V34/100)</f>
        <v/>
      </c>
      <c r="W35" s="27" t="str">
        <f aca="false">IF(OR(W28="",W34=""),"",W28*W34/100)</f>
        <v/>
      </c>
      <c r="X35" s="27" t="str">
        <f aca="false">IF(OR(X28="",X34=""),"",X28*X34/100)</f>
        <v/>
      </c>
      <c r="Y35" s="27" t="str">
        <f aca="false">IF(OR(Y28="",Y34=""),"",Y28*Y34/100)</f>
        <v/>
      </c>
      <c r="Z35" s="27" t="str">
        <f aca="false">IF(OR(Z28="",Z34=""),"",Z28*Z34/100)</f>
        <v/>
      </c>
      <c r="AA35" s="27" t="str">
        <f aca="false">IF(OR(AA28="",AA34=""),"",AA28*AA34/100)</f>
        <v/>
      </c>
      <c r="AB35" s="27" t="str">
        <f aca="false">IF(OR(AB28="",AB34=""),"",AB28*AB34/100)</f>
        <v/>
      </c>
    </row>
    <row r="36" customFormat="false" ht="15" hidden="false" customHeight="true" outlineLevel="0" collapsed="false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customFormat="false" ht="15" hidden="false" customHeight="true" outlineLevel="0" collapsed="false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</sheetData>
  <mergeCells count="5">
    <mergeCell ref="A1:AB1"/>
    <mergeCell ref="A2:AB2"/>
    <mergeCell ref="A5:AB5"/>
    <mergeCell ref="A16:AB16"/>
    <mergeCell ref="A27:A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2.77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102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6" t="s">
        <v>64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15" hidden="false" customHeight="true" outlineLevel="0" collapsed="false">
      <c r="A6" s="17" t="s">
        <v>104</v>
      </c>
      <c r="B6" s="30" t="str">
        <f aca="false">'Volume-Price'!B12</f>
        <v/>
      </c>
      <c r="C6" s="30" t="str">
        <f aca="false">'Volume-Price'!C12</f>
        <v/>
      </c>
      <c r="D6" s="30" t="str">
        <f aca="false">'Volume-Price'!D12</f>
        <v/>
      </c>
      <c r="E6" s="30" t="str">
        <f aca="false">'Volume-Price'!E12</f>
        <v/>
      </c>
      <c r="F6" s="30" t="str">
        <f aca="false">'Volume-Price'!F12</f>
        <v/>
      </c>
      <c r="G6" s="30" t="str">
        <f aca="false">'Volume-Price'!G12</f>
        <v/>
      </c>
      <c r="H6" s="30" t="str">
        <f aca="false">'Volume-Price'!H12</f>
        <v/>
      </c>
      <c r="I6" s="30" t="str">
        <f aca="false">'Volume-Price'!I12</f>
        <v/>
      </c>
      <c r="J6" s="30" t="str">
        <f aca="false">'Volume-Price'!J12</f>
        <v/>
      </c>
      <c r="K6" s="30" t="str">
        <f aca="false">'Volume-Price'!K12</f>
        <v/>
      </c>
      <c r="L6" s="30" t="str">
        <f aca="false">'Volume-Price'!L12</f>
        <v/>
      </c>
      <c r="M6" s="30" t="str">
        <f aca="false">'Volume-Price'!M12</f>
        <v/>
      </c>
      <c r="N6" s="30" t="str">
        <f aca="false">'Volume-Price'!N12</f>
        <v/>
      </c>
      <c r="O6" s="30" t="str">
        <f aca="false">'Volume-Price'!O12</f>
        <v/>
      </c>
      <c r="P6" s="30" t="str">
        <f aca="false">'Volume-Price'!P12</f>
        <v/>
      </c>
      <c r="Q6" s="30" t="str">
        <f aca="false">'Volume-Price'!Q12</f>
        <v/>
      </c>
      <c r="R6" s="30" t="str">
        <f aca="false">'Volume-Price'!R12</f>
        <v/>
      </c>
      <c r="S6" s="30" t="str">
        <f aca="false">'Volume-Price'!S12</f>
        <v/>
      </c>
      <c r="T6" s="30" t="str">
        <f aca="false">'Volume-Price'!T12</f>
        <v/>
      </c>
      <c r="U6" s="30" t="str">
        <f aca="false">'Volume-Price'!U12</f>
        <v/>
      </c>
      <c r="V6" s="30" t="str">
        <f aca="false">'Volume-Price'!V12</f>
        <v/>
      </c>
      <c r="W6" s="30" t="str">
        <f aca="false">'Volume-Price'!W12</f>
        <v/>
      </c>
      <c r="X6" s="30" t="str">
        <f aca="false">'Volume-Price'!X12</f>
        <v/>
      </c>
      <c r="Y6" s="30" t="str">
        <f aca="false">'Volume-Price'!Y12</f>
        <v/>
      </c>
      <c r="Z6" s="30" t="str">
        <f aca="false">'Volume-Price'!Z12</f>
        <v/>
      </c>
      <c r="AA6" s="30" t="str">
        <f aca="false">'Volume-Price'!AA12</f>
        <v/>
      </c>
      <c r="AB6" s="30" t="str">
        <f aca="false">'Volume-Price'!AB12</f>
        <v/>
      </c>
    </row>
    <row r="7" customFormat="false" ht="15" hidden="false" customHeight="true" outlineLevel="0" collapsed="false">
      <c r="A7" s="17" t="s">
        <v>105</v>
      </c>
      <c r="B7" s="30" t="str">
        <f aca="false">'Cost Bridge'!B13</f>
        <v/>
      </c>
      <c r="C7" s="30" t="str">
        <f aca="false">'Cost Bridge'!C13</f>
        <v/>
      </c>
      <c r="D7" s="30" t="str">
        <f aca="false">'Cost Bridge'!D13</f>
        <v/>
      </c>
      <c r="E7" s="30" t="str">
        <f aca="false">'Cost Bridge'!E13</f>
        <v/>
      </c>
      <c r="F7" s="30" t="str">
        <f aca="false">'Cost Bridge'!F13</f>
        <v/>
      </c>
      <c r="G7" s="30" t="str">
        <f aca="false">'Cost Bridge'!G13</f>
        <v/>
      </c>
      <c r="H7" s="30" t="str">
        <f aca="false">'Cost Bridge'!H13</f>
        <v/>
      </c>
      <c r="I7" s="30" t="str">
        <f aca="false">'Cost Bridge'!I13</f>
        <v/>
      </c>
      <c r="J7" s="30" t="str">
        <f aca="false">'Cost Bridge'!J13</f>
        <v/>
      </c>
      <c r="K7" s="30" t="str">
        <f aca="false">'Cost Bridge'!K13</f>
        <v/>
      </c>
      <c r="L7" s="30" t="str">
        <f aca="false">'Cost Bridge'!L13</f>
        <v/>
      </c>
      <c r="M7" s="30" t="str">
        <f aca="false">'Cost Bridge'!M13</f>
        <v/>
      </c>
      <c r="N7" s="30" t="str">
        <f aca="false">'Cost Bridge'!N13</f>
        <v/>
      </c>
      <c r="O7" s="30" t="str">
        <f aca="false">'Cost Bridge'!O13</f>
        <v/>
      </c>
      <c r="P7" s="30" t="str">
        <f aca="false">'Cost Bridge'!P13</f>
        <v/>
      </c>
      <c r="Q7" s="30" t="str">
        <f aca="false">'Cost Bridge'!Q13</f>
        <v/>
      </c>
      <c r="R7" s="30" t="str">
        <f aca="false">'Cost Bridge'!R13</f>
        <v/>
      </c>
      <c r="S7" s="30" t="str">
        <f aca="false">'Cost Bridge'!S13</f>
        <v/>
      </c>
      <c r="T7" s="30" t="str">
        <f aca="false">'Cost Bridge'!T13</f>
        <v/>
      </c>
      <c r="U7" s="30" t="str">
        <f aca="false">'Cost Bridge'!U13</f>
        <v/>
      </c>
      <c r="V7" s="30" t="str">
        <f aca="false">'Cost Bridge'!V13</f>
        <v/>
      </c>
      <c r="W7" s="30" t="str">
        <f aca="false">'Cost Bridge'!W13</f>
        <v/>
      </c>
      <c r="X7" s="30" t="str">
        <f aca="false">'Cost Bridge'!X13</f>
        <v/>
      </c>
      <c r="Y7" s="30" t="str">
        <f aca="false">'Cost Bridge'!Y13</f>
        <v/>
      </c>
      <c r="Z7" s="30" t="str">
        <f aca="false">'Cost Bridge'!Z13</f>
        <v/>
      </c>
      <c r="AA7" s="30" t="str">
        <f aca="false">'Cost Bridge'!AA13</f>
        <v/>
      </c>
      <c r="AB7" s="30" t="str">
        <f aca="false">'Cost Bridge'!AB13</f>
        <v/>
      </c>
    </row>
    <row r="8" customFormat="false" ht="15" hidden="false" customHeight="true" outlineLevel="0" collapsed="false">
      <c r="A8" s="17" t="s">
        <v>106</v>
      </c>
      <c r="B8" s="27" t="str">
        <f aca="false">IF(OR(B6="",B7=""),"",B6-B7)</f>
        <v/>
      </c>
      <c r="C8" s="27" t="str">
        <f aca="false">IF(OR(C6="",C7=""),"",C6-C7)</f>
        <v/>
      </c>
      <c r="D8" s="27" t="str">
        <f aca="false">IF(OR(D6="",D7=""),"",D6-D7)</f>
        <v/>
      </c>
      <c r="E8" s="27" t="str">
        <f aca="false">IF(OR(E6="",E7=""),"",E6-E7)</f>
        <v/>
      </c>
      <c r="F8" s="27" t="str">
        <f aca="false">IF(OR(F6="",F7=""),"",F6-F7)</f>
        <v/>
      </c>
      <c r="G8" s="27" t="str">
        <f aca="false">IF(OR(G6="",G7=""),"",G6-G7)</f>
        <v/>
      </c>
      <c r="H8" s="27" t="str">
        <f aca="false">IF(OR(H6="",H7=""),"",H6-H7)</f>
        <v/>
      </c>
      <c r="I8" s="27" t="str">
        <f aca="false">IF(OR(I6="",I7=""),"",I6-I7)</f>
        <v/>
      </c>
      <c r="J8" s="27" t="str">
        <f aca="false">IF(OR(J6="",J7=""),"",J6-J7)</f>
        <v/>
      </c>
      <c r="K8" s="27" t="str">
        <f aca="false">IF(OR(K6="",K7=""),"",K6-K7)</f>
        <v/>
      </c>
      <c r="L8" s="27" t="str">
        <f aca="false">IF(OR(L6="",L7=""),"",L6-L7)</f>
        <v/>
      </c>
      <c r="M8" s="27" t="str">
        <f aca="false">IF(OR(M6="",M7=""),"",M6-M7)</f>
        <v/>
      </c>
      <c r="N8" s="27" t="str">
        <f aca="false">IF(OR(N6="",N7=""),"",N6-N7)</f>
        <v/>
      </c>
      <c r="O8" s="27" t="str">
        <f aca="false">IF(OR(O6="",O7=""),"",O6-O7)</f>
        <v/>
      </c>
      <c r="P8" s="27" t="str">
        <f aca="false">IF(OR(P6="",P7=""),"",P6-P7)</f>
        <v/>
      </c>
      <c r="Q8" s="27" t="str">
        <f aca="false">IF(OR(Q6="",Q7=""),"",Q6-Q7)</f>
        <v/>
      </c>
      <c r="R8" s="27" t="str">
        <f aca="false">IF(OR(R6="",R7=""),"",R6-R7)</f>
        <v/>
      </c>
      <c r="S8" s="27" t="str">
        <f aca="false">IF(OR(S6="",S7=""),"",S6-S7)</f>
        <v/>
      </c>
      <c r="T8" s="27" t="str">
        <f aca="false">IF(OR(T6="",T7=""),"",T6-T7)</f>
        <v/>
      </c>
      <c r="U8" s="27" t="str">
        <f aca="false">IF(OR(U6="",U7=""),"",U6-U7)</f>
        <v/>
      </c>
      <c r="V8" s="27" t="str">
        <f aca="false">IF(OR(V6="",V7=""),"",V6-V7)</f>
        <v/>
      </c>
      <c r="W8" s="27" t="str">
        <f aca="false">IF(OR(W6="",W7=""),"",W6-W7)</f>
        <v/>
      </c>
      <c r="X8" s="27" t="str">
        <f aca="false">IF(OR(X6="",X7=""),"",X6-X7)</f>
        <v/>
      </c>
      <c r="Y8" s="27" t="str">
        <f aca="false">IF(OR(Y6="",Y7=""),"",Y6-Y7)</f>
        <v/>
      </c>
      <c r="Z8" s="27" t="str">
        <f aca="false">IF(OR(Z6="",Z7=""),"",Z6-Z7)</f>
        <v/>
      </c>
      <c r="AA8" s="27" t="str">
        <f aca="false">IF(OR(AA6="",AA7=""),"",AA6-AA7)</f>
        <v/>
      </c>
      <c r="AB8" s="27" t="str">
        <f aca="false">IF(OR(AB6="",AB7=""),"",AB6-AB7)</f>
        <v/>
      </c>
    </row>
    <row r="9" customFormat="false" ht="15" hidden="false" customHeight="true" outlineLevel="0" collapsed="false">
      <c r="A9" s="17" t="s">
        <v>107</v>
      </c>
      <c r="B9" s="28" t="str">
        <f aca="false">IFERROR(IF(OR(B6="",B6=0,B8=""),"",B8/B6),"")</f>
        <v/>
      </c>
      <c r="C9" s="28" t="str">
        <f aca="false">IFERROR(IF(OR(C6="",C6=0,C8=""),"",C8/C6),"")</f>
        <v/>
      </c>
      <c r="D9" s="28" t="str">
        <f aca="false">IFERROR(IF(OR(D6="",D6=0,D8=""),"",D8/D6),"")</f>
        <v/>
      </c>
      <c r="E9" s="28" t="str">
        <f aca="false">IFERROR(IF(OR(E6="",E6=0,E8=""),"",E8/E6),"")</f>
        <v/>
      </c>
      <c r="F9" s="28" t="str">
        <f aca="false">IFERROR(IF(OR(F6="",F6=0,F8=""),"",F8/F6),"")</f>
        <v/>
      </c>
      <c r="G9" s="28" t="str">
        <f aca="false">IFERROR(IF(OR(G6="",G6=0,G8=""),"",G8/G6),"")</f>
        <v/>
      </c>
      <c r="H9" s="28" t="str">
        <f aca="false">IFERROR(IF(OR(H6="",H6=0,H8=""),"",H8/H6),"")</f>
        <v/>
      </c>
      <c r="I9" s="28" t="str">
        <f aca="false">IFERROR(IF(OR(I6="",I6=0,I8=""),"",I8/I6),"")</f>
        <v/>
      </c>
      <c r="J9" s="28" t="str">
        <f aca="false">IFERROR(IF(OR(J6="",J6=0,J8=""),"",J8/J6),"")</f>
        <v/>
      </c>
      <c r="K9" s="28" t="str">
        <f aca="false">IFERROR(IF(OR(K6="",K6=0,K8=""),"",K8/K6),"")</f>
        <v/>
      </c>
      <c r="L9" s="28" t="str">
        <f aca="false">IFERROR(IF(OR(L6="",L6=0,L8=""),"",L8/L6),"")</f>
        <v/>
      </c>
      <c r="M9" s="28" t="str">
        <f aca="false">IFERROR(IF(OR(M6="",M6=0,M8=""),"",M8/M6),"")</f>
        <v/>
      </c>
      <c r="N9" s="28" t="str">
        <f aca="false">IFERROR(IF(OR(N6="",N6=0,N8=""),"",N8/N6),"")</f>
        <v/>
      </c>
      <c r="O9" s="28" t="str">
        <f aca="false">IFERROR(IF(OR(O6="",O6=0,O8=""),"",O8/O6),"")</f>
        <v/>
      </c>
      <c r="P9" s="28" t="str">
        <f aca="false">IFERROR(IF(OR(P6="",P6=0,P8=""),"",P8/P6),"")</f>
        <v/>
      </c>
      <c r="Q9" s="28" t="str">
        <f aca="false">IFERROR(IF(OR(Q6="",Q6=0,Q8=""),"",Q8/Q6),"")</f>
        <v/>
      </c>
      <c r="R9" s="28" t="str">
        <f aca="false">IFERROR(IF(OR(R6="",R6=0,R8=""),"",R8/R6),"")</f>
        <v/>
      </c>
      <c r="S9" s="28" t="str">
        <f aca="false">IFERROR(IF(OR(S6="",S6=0,S8=""),"",S8/S6),"")</f>
        <v/>
      </c>
      <c r="T9" s="28" t="str">
        <f aca="false">IFERROR(IF(OR(T6="",T6=0,T8=""),"",T8/T6),"")</f>
        <v/>
      </c>
      <c r="U9" s="28" t="str">
        <f aca="false">IFERROR(IF(OR(U6="",U6=0,U8=""),"",U8/U6),"")</f>
        <v/>
      </c>
      <c r="V9" s="28" t="str">
        <f aca="false">IFERROR(IF(OR(V6="",V6=0,V8=""),"",V8/V6),"")</f>
        <v/>
      </c>
      <c r="W9" s="28" t="str">
        <f aca="false">IFERROR(IF(OR(W6="",W6=0,W8=""),"",W8/W6),"")</f>
        <v/>
      </c>
      <c r="X9" s="28" t="str">
        <f aca="false">IFERROR(IF(OR(X6="",X6=0,X8=""),"",X8/X6),"")</f>
        <v/>
      </c>
      <c r="Y9" s="28" t="str">
        <f aca="false">IFERROR(IF(OR(Y6="",Y6=0,Y8=""),"",Y8/Y6),"")</f>
        <v/>
      </c>
      <c r="Z9" s="28" t="str">
        <f aca="false">IFERROR(IF(OR(Z6="",Z6=0,Z8=""),"",Z8/Z6),"")</f>
        <v/>
      </c>
      <c r="AA9" s="28" t="str">
        <f aca="false">IFERROR(IF(OR(AA6="",AA6=0,AA8=""),"",AA8/AA6),"")</f>
        <v/>
      </c>
      <c r="AB9" s="28" t="str">
        <f aca="false">IFERROR(IF(OR(AB6="",AB6=0,AB8=""),"",AB8/AB6),"")</f>
        <v/>
      </c>
    </row>
    <row r="10" customFormat="false" ht="15" hidden="false" customHeight="true" outlineLevel="0" collapsed="false">
      <c r="A10" s="2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customFormat="false" ht="15" hidden="false" customHeight="true" outlineLevel="0" collapsed="false">
      <c r="A11" s="16" t="s">
        <v>69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15" hidden="false" customHeight="true" outlineLevel="0" collapsed="false">
      <c r="A12" s="17" t="s">
        <v>104</v>
      </c>
      <c r="B12" s="30" t="str">
        <f aca="false">'Volume-Price'!B22</f>
        <v/>
      </c>
      <c r="C12" s="30" t="str">
        <f aca="false">'Volume-Price'!C22</f>
        <v/>
      </c>
      <c r="D12" s="30" t="str">
        <f aca="false">'Volume-Price'!D22</f>
        <v/>
      </c>
      <c r="E12" s="30" t="str">
        <f aca="false">'Volume-Price'!E22</f>
        <v/>
      </c>
      <c r="F12" s="30" t="str">
        <f aca="false">'Volume-Price'!F22</f>
        <v/>
      </c>
      <c r="G12" s="30" t="str">
        <f aca="false">'Volume-Price'!G22</f>
        <v/>
      </c>
      <c r="H12" s="30" t="str">
        <f aca="false">'Volume-Price'!H22</f>
        <v/>
      </c>
      <c r="I12" s="30" t="str">
        <f aca="false">'Volume-Price'!I22</f>
        <v/>
      </c>
      <c r="J12" s="30" t="str">
        <f aca="false">'Volume-Price'!J22</f>
        <v/>
      </c>
      <c r="K12" s="30" t="str">
        <f aca="false">'Volume-Price'!K22</f>
        <v/>
      </c>
      <c r="L12" s="30" t="str">
        <f aca="false">'Volume-Price'!L22</f>
        <v/>
      </c>
      <c r="M12" s="30" t="str">
        <f aca="false">'Volume-Price'!M22</f>
        <v/>
      </c>
      <c r="N12" s="30" t="str">
        <f aca="false">'Volume-Price'!N22</f>
        <v/>
      </c>
      <c r="O12" s="30" t="str">
        <f aca="false">'Volume-Price'!O22</f>
        <v/>
      </c>
      <c r="P12" s="30" t="str">
        <f aca="false">'Volume-Price'!P22</f>
        <v/>
      </c>
      <c r="Q12" s="30" t="str">
        <f aca="false">'Volume-Price'!Q22</f>
        <v/>
      </c>
      <c r="R12" s="30" t="str">
        <f aca="false">'Volume-Price'!R22</f>
        <v/>
      </c>
      <c r="S12" s="30" t="str">
        <f aca="false">'Volume-Price'!S22</f>
        <v/>
      </c>
      <c r="T12" s="30" t="str">
        <f aca="false">'Volume-Price'!T22</f>
        <v/>
      </c>
      <c r="U12" s="30" t="str">
        <f aca="false">'Volume-Price'!U22</f>
        <v/>
      </c>
      <c r="V12" s="30" t="str">
        <f aca="false">'Volume-Price'!V22</f>
        <v/>
      </c>
      <c r="W12" s="30" t="str">
        <f aca="false">'Volume-Price'!W22</f>
        <v/>
      </c>
      <c r="X12" s="30" t="str">
        <f aca="false">'Volume-Price'!X22</f>
        <v/>
      </c>
      <c r="Y12" s="30" t="str">
        <f aca="false">'Volume-Price'!Y22</f>
        <v/>
      </c>
      <c r="Z12" s="30" t="str">
        <f aca="false">'Volume-Price'!Z22</f>
        <v/>
      </c>
      <c r="AA12" s="30" t="str">
        <f aca="false">'Volume-Price'!AA22</f>
        <v/>
      </c>
      <c r="AB12" s="30" t="str">
        <f aca="false">'Volume-Price'!AB22</f>
        <v/>
      </c>
    </row>
    <row r="13" customFormat="false" ht="15" hidden="false" customHeight="true" outlineLevel="0" collapsed="false">
      <c r="A13" s="17" t="s">
        <v>105</v>
      </c>
      <c r="B13" s="30" t="str">
        <f aca="false">'Cost Bridge'!B24</f>
        <v/>
      </c>
      <c r="C13" s="30" t="str">
        <f aca="false">'Cost Bridge'!C24</f>
        <v/>
      </c>
      <c r="D13" s="30" t="str">
        <f aca="false">'Cost Bridge'!D24</f>
        <v/>
      </c>
      <c r="E13" s="30" t="str">
        <f aca="false">'Cost Bridge'!E24</f>
        <v/>
      </c>
      <c r="F13" s="30" t="str">
        <f aca="false">'Cost Bridge'!F24</f>
        <v/>
      </c>
      <c r="G13" s="30" t="str">
        <f aca="false">'Cost Bridge'!G24</f>
        <v/>
      </c>
      <c r="H13" s="30" t="str">
        <f aca="false">'Cost Bridge'!H24</f>
        <v/>
      </c>
      <c r="I13" s="30" t="str">
        <f aca="false">'Cost Bridge'!I24</f>
        <v/>
      </c>
      <c r="J13" s="30" t="str">
        <f aca="false">'Cost Bridge'!J24</f>
        <v/>
      </c>
      <c r="K13" s="30" t="str">
        <f aca="false">'Cost Bridge'!K24</f>
        <v/>
      </c>
      <c r="L13" s="30" t="str">
        <f aca="false">'Cost Bridge'!L24</f>
        <v/>
      </c>
      <c r="M13" s="30" t="str">
        <f aca="false">'Cost Bridge'!M24</f>
        <v/>
      </c>
      <c r="N13" s="30" t="str">
        <f aca="false">'Cost Bridge'!N24</f>
        <v/>
      </c>
      <c r="O13" s="30" t="str">
        <f aca="false">'Cost Bridge'!O24</f>
        <v/>
      </c>
      <c r="P13" s="30" t="str">
        <f aca="false">'Cost Bridge'!P24</f>
        <v/>
      </c>
      <c r="Q13" s="30" t="str">
        <f aca="false">'Cost Bridge'!Q24</f>
        <v/>
      </c>
      <c r="R13" s="30" t="str">
        <f aca="false">'Cost Bridge'!R24</f>
        <v/>
      </c>
      <c r="S13" s="30" t="str">
        <f aca="false">'Cost Bridge'!S24</f>
        <v/>
      </c>
      <c r="T13" s="30" t="str">
        <f aca="false">'Cost Bridge'!T24</f>
        <v/>
      </c>
      <c r="U13" s="30" t="str">
        <f aca="false">'Cost Bridge'!U24</f>
        <v/>
      </c>
      <c r="V13" s="30" t="str">
        <f aca="false">'Cost Bridge'!V24</f>
        <v/>
      </c>
      <c r="W13" s="30" t="str">
        <f aca="false">'Cost Bridge'!W24</f>
        <v/>
      </c>
      <c r="X13" s="30" t="str">
        <f aca="false">'Cost Bridge'!X24</f>
        <v/>
      </c>
      <c r="Y13" s="30" t="str">
        <f aca="false">'Cost Bridge'!Y24</f>
        <v/>
      </c>
      <c r="Z13" s="30" t="str">
        <f aca="false">'Cost Bridge'!Z24</f>
        <v/>
      </c>
      <c r="AA13" s="30" t="str">
        <f aca="false">'Cost Bridge'!AA24</f>
        <v/>
      </c>
      <c r="AB13" s="30" t="str">
        <f aca="false">'Cost Bridge'!AB24</f>
        <v/>
      </c>
    </row>
    <row r="14" customFormat="false" ht="15" hidden="false" customHeight="true" outlineLevel="0" collapsed="false">
      <c r="A14" s="17" t="s">
        <v>106</v>
      </c>
      <c r="B14" s="27" t="str">
        <f aca="false">IF(OR(B12="",B13=""),"",B12-B13)</f>
        <v/>
      </c>
      <c r="C14" s="27" t="str">
        <f aca="false">IF(OR(C12="",C13=""),"",C12-C13)</f>
        <v/>
      </c>
      <c r="D14" s="27" t="str">
        <f aca="false">IF(OR(D12="",D13=""),"",D12-D13)</f>
        <v/>
      </c>
      <c r="E14" s="27" t="str">
        <f aca="false">IF(OR(E12="",E13=""),"",E12-E13)</f>
        <v/>
      </c>
      <c r="F14" s="27" t="str">
        <f aca="false">IF(OR(F12="",F13=""),"",F12-F13)</f>
        <v/>
      </c>
      <c r="G14" s="27" t="str">
        <f aca="false">IF(OR(G12="",G13=""),"",G12-G13)</f>
        <v/>
      </c>
      <c r="H14" s="27" t="str">
        <f aca="false">IF(OR(H12="",H13=""),"",H12-H13)</f>
        <v/>
      </c>
      <c r="I14" s="27" t="str">
        <f aca="false">IF(OR(I12="",I13=""),"",I12-I13)</f>
        <v/>
      </c>
      <c r="J14" s="27" t="str">
        <f aca="false">IF(OR(J12="",J13=""),"",J12-J13)</f>
        <v/>
      </c>
      <c r="K14" s="27" t="str">
        <f aca="false">IF(OR(K12="",K13=""),"",K12-K13)</f>
        <v/>
      </c>
      <c r="L14" s="27" t="str">
        <f aca="false">IF(OR(L12="",L13=""),"",L12-L13)</f>
        <v/>
      </c>
      <c r="M14" s="27" t="str">
        <f aca="false">IF(OR(M12="",M13=""),"",M12-M13)</f>
        <v/>
      </c>
      <c r="N14" s="27" t="str">
        <f aca="false">IF(OR(N12="",N13=""),"",N12-N13)</f>
        <v/>
      </c>
      <c r="O14" s="27" t="str">
        <f aca="false">IF(OR(O12="",O13=""),"",O12-O13)</f>
        <v/>
      </c>
      <c r="P14" s="27" t="str">
        <f aca="false">IF(OR(P12="",P13=""),"",P12-P13)</f>
        <v/>
      </c>
      <c r="Q14" s="27" t="str">
        <f aca="false">IF(OR(Q12="",Q13=""),"",Q12-Q13)</f>
        <v/>
      </c>
      <c r="R14" s="27" t="str">
        <f aca="false">IF(OR(R12="",R13=""),"",R12-R13)</f>
        <v/>
      </c>
      <c r="S14" s="27" t="str">
        <f aca="false">IF(OR(S12="",S13=""),"",S12-S13)</f>
        <v/>
      </c>
      <c r="T14" s="27" t="str">
        <f aca="false">IF(OR(T12="",T13=""),"",T12-T13)</f>
        <v/>
      </c>
      <c r="U14" s="27" t="str">
        <f aca="false">IF(OR(U12="",U13=""),"",U12-U13)</f>
        <v/>
      </c>
      <c r="V14" s="27" t="str">
        <f aca="false">IF(OR(V12="",V13=""),"",V12-V13)</f>
        <v/>
      </c>
      <c r="W14" s="27" t="str">
        <f aca="false">IF(OR(W12="",W13=""),"",W12-W13)</f>
        <v/>
      </c>
      <c r="X14" s="27" t="str">
        <f aca="false">IF(OR(X12="",X13=""),"",X12-X13)</f>
        <v/>
      </c>
      <c r="Y14" s="27" t="str">
        <f aca="false">IF(OR(Y12="",Y13=""),"",Y12-Y13)</f>
        <v/>
      </c>
      <c r="Z14" s="27" t="str">
        <f aca="false">IF(OR(Z12="",Z13=""),"",Z12-Z13)</f>
        <v/>
      </c>
      <c r="AA14" s="27" t="str">
        <f aca="false">IF(OR(AA12="",AA13=""),"",AA12-AA13)</f>
        <v/>
      </c>
      <c r="AB14" s="27" t="str">
        <f aca="false">IF(OR(AB12="",AB13=""),"",AB12-AB13)</f>
        <v/>
      </c>
    </row>
    <row r="15" customFormat="false" ht="15" hidden="false" customHeight="true" outlineLevel="0" collapsed="false">
      <c r="A15" s="17" t="s">
        <v>107</v>
      </c>
      <c r="B15" s="28" t="str">
        <f aca="false">IFERROR(IF(OR(B12="",B12=0,B14=""),"",B14/B12),"")</f>
        <v/>
      </c>
      <c r="C15" s="28" t="str">
        <f aca="false">IFERROR(IF(OR(C12="",C12=0,C14=""),"",C14/C12),"")</f>
        <v/>
      </c>
      <c r="D15" s="28" t="str">
        <f aca="false">IFERROR(IF(OR(D12="",D12=0,D14=""),"",D14/D12),"")</f>
        <v/>
      </c>
      <c r="E15" s="28" t="str">
        <f aca="false">IFERROR(IF(OR(E12="",E12=0,E14=""),"",E14/E12),"")</f>
        <v/>
      </c>
      <c r="F15" s="28" t="str">
        <f aca="false">IFERROR(IF(OR(F12="",F12=0,F14=""),"",F14/F12),"")</f>
        <v/>
      </c>
      <c r="G15" s="28" t="str">
        <f aca="false">IFERROR(IF(OR(G12="",G12=0,G14=""),"",G14/G12),"")</f>
        <v/>
      </c>
      <c r="H15" s="28" t="str">
        <f aca="false">IFERROR(IF(OR(H12="",H12=0,H14=""),"",H14/H12),"")</f>
        <v/>
      </c>
      <c r="I15" s="28" t="str">
        <f aca="false">IFERROR(IF(OR(I12="",I12=0,I14=""),"",I14/I12),"")</f>
        <v/>
      </c>
      <c r="J15" s="28" t="str">
        <f aca="false">IFERROR(IF(OR(J12="",J12=0,J14=""),"",J14/J12),"")</f>
        <v/>
      </c>
      <c r="K15" s="28" t="str">
        <f aca="false">IFERROR(IF(OR(K12="",K12=0,K14=""),"",K14/K12),"")</f>
        <v/>
      </c>
      <c r="L15" s="28" t="str">
        <f aca="false">IFERROR(IF(OR(L12="",L12=0,L14=""),"",L14/L12),"")</f>
        <v/>
      </c>
      <c r="M15" s="28" t="str">
        <f aca="false">IFERROR(IF(OR(M12="",M12=0,M14=""),"",M14/M12),"")</f>
        <v/>
      </c>
      <c r="N15" s="28" t="str">
        <f aca="false">IFERROR(IF(OR(N12="",N12=0,N14=""),"",N14/N12),"")</f>
        <v/>
      </c>
      <c r="O15" s="28" t="str">
        <f aca="false">IFERROR(IF(OR(O12="",O12=0,O14=""),"",O14/O12),"")</f>
        <v/>
      </c>
      <c r="P15" s="28" t="str">
        <f aca="false">IFERROR(IF(OR(P12="",P12=0,P14=""),"",P14/P12),"")</f>
        <v/>
      </c>
      <c r="Q15" s="28" t="str">
        <f aca="false">IFERROR(IF(OR(Q12="",Q12=0,Q14=""),"",Q14/Q12),"")</f>
        <v/>
      </c>
      <c r="R15" s="28" t="str">
        <f aca="false">IFERROR(IF(OR(R12="",R12=0,R14=""),"",R14/R12),"")</f>
        <v/>
      </c>
      <c r="S15" s="28" t="str">
        <f aca="false">IFERROR(IF(OR(S12="",S12=0,S14=""),"",S14/S12),"")</f>
        <v/>
      </c>
      <c r="T15" s="28" t="str">
        <f aca="false">IFERROR(IF(OR(T12="",T12=0,T14=""),"",T14/T12),"")</f>
        <v/>
      </c>
      <c r="U15" s="28" t="str">
        <f aca="false">IFERROR(IF(OR(U12="",U12=0,U14=""),"",U14/U12),"")</f>
        <v/>
      </c>
      <c r="V15" s="28" t="str">
        <f aca="false">IFERROR(IF(OR(V12="",V12=0,V14=""),"",V14/V12),"")</f>
        <v/>
      </c>
      <c r="W15" s="28" t="str">
        <f aca="false">IFERROR(IF(OR(W12="",W12=0,W14=""),"",W14/W12),"")</f>
        <v/>
      </c>
      <c r="X15" s="28" t="str">
        <f aca="false">IFERROR(IF(OR(X12="",X12=0,X14=""),"",X14/X12),"")</f>
        <v/>
      </c>
      <c r="Y15" s="28" t="str">
        <f aca="false">IFERROR(IF(OR(Y12="",Y12=0,Y14=""),"",Y14/Y12),"")</f>
        <v/>
      </c>
      <c r="Z15" s="28" t="str">
        <f aca="false">IFERROR(IF(OR(Z12="",Z12=0,Z14=""),"",Z14/Z12),"")</f>
        <v/>
      </c>
      <c r="AA15" s="28" t="str">
        <f aca="false">IFERROR(IF(OR(AA12="",AA12=0,AA14=""),"",AA14/AA12),"")</f>
        <v/>
      </c>
      <c r="AB15" s="28" t="str">
        <f aca="false">IFERROR(IF(OR(AB12="",AB12=0,AB14=""),"",AB14/AB12),"")</f>
        <v/>
      </c>
    </row>
    <row r="16" customFormat="false" ht="15" hidden="false" customHeight="true" outlineLevel="0" collapsed="false">
      <c r="A16" s="2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customFormat="false" ht="15" hidden="false" customHeight="true" outlineLevel="0" collapsed="false">
      <c r="A17" s="16" t="s">
        <v>70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15" hidden="false" customHeight="true" outlineLevel="0" collapsed="false">
      <c r="A18" s="17" t="s">
        <v>104</v>
      </c>
      <c r="B18" s="30" t="str">
        <f aca="false">'Volume-Price'!B32</f>
        <v/>
      </c>
      <c r="C18" s="30" t="str">
        <f aca="false">'Volume-Price'!C32</f>
        <v/>
      </c>
      <c r="D18" s="30" t="str">
        <f aca="false">'Volume-Price'!D32</f>
        <v/>
      </c>
      <c r="E18" s="30" t="str">
        <f aca="false">'Volume-Price'!E32</f>
        <v/>
      </c>
      <c r="F18" s="30" t="str">
        <f aca="false">'Volume-Price'!F32</f>
        <v/>
      </c>
      <c r="G18" s="30" t="str">
        <f aca="false">'Volume-Price'!G32</f>
        <v/>
      </c>
      <c r="H18" s="30" t="str">
        <f aca="false">'Volume-Price'!H32</f>
        <v/>
      </c>
      <c r="I18" s="30" t="str">
        <f aca="false">'Volume-Price'!I32</f>
        <v/>
      </c>
      <c r="J18" s="30" t="str">
        <f aca="false">'Volume-Price'!J32</f>
        <v/>
      </c>
      <c r="K18" s="30" t="str">
        <f aca="false">'Volume-Price'!K32</f>
        <v/>
      </c>
      <c r="L18" s="30" t="str">
        <f aca="false">'Volume-Price'!L32</f>
        <v/>
      </c>
      <c r="M18" s="30" t="str">
        <f aca="false">'Volume-Price'!M32</f>
        <v/>
      </c>
      <c r="N18" s="30" t="str">
        <f aca="false">'Volume-Price'!N32</f>
        <v/>
      </c>
      <c r="O18" s="30" t="str">
        <f aca="false">'Volume-Price'!O32</f>
        <v/>
      </c>
      <c r="P18" s="30" t="str">
        <f aca="false">'Volume-Price'!P32</f>
        <v/>
      </c>
      <c r="Q18" s="30" t="str">
        <f aca="false">'Volume-Price'!Q32</f>
        <v/>
      </c>
      <c r="R18" s="30" t="str">
        <f aca="false">'Volume-Price'!R32</f>
        <v/>
      </c>
      <c r="S18" s="30" t="str">
        <f aca="false">'Volume-Price'!S32</f>
        <v/>
      </c>
      <c r="T18" s="30" t="str">
        <f aca="false">'Volume-Price'!T32</f>
        <v/>
      </c>
      <c r="U18" s="30" t="str">
        <f aca="false">'Volume-Price'!U32</f>
        <v/>
      </c>
      <c r="V18" s="30" t="str">
        <f aca="false">'Volume-Price'!V32</f>
        <v/>
      </c>
      <c r="W18" s="30" t="str">
        <f aca="false">'Volume-Price'!W32</f>
        <v/>
      </c>
      <c r="X18" s="30" t="str">
        <f aca="false">'Volume-Price'!X32</f>
        <v/>
      </c>
      <c r="Y18" s="30" t="str">
        <f aca="false">'Volume-Price'!Y32</f>
        <v/>
      </c>
      <c r="Z18" s="30" t="str">
        <f aca="false">'Volume-Price'!Z32</f>
        <v/>
      </c>
      <c r="AA18" s="30" t="str">
        <f aca="false">'Volume-Price'!AA32</f>
        <v/>
      </c>
      <c r="AB18" s="30" t="str">
        <f aca="false">'Volume-Price'!AB32</f>
        <v/>
      </c>
    </row>
    <row r="19" customFormat="false" ht="15" hidden="false" customHeight="true" outlineLevel="0" collapsed="false">
      <c r="A19" s="17" t="s">
        <v>105</v>
      </c>
      <c r="B19" s="30" t="str">
        <f aca="false">'Cost Bridge'!B35</f>
        <v/>
      </c>
      <c r="C19" s="30" t="str">
        <f aca="false">'Cost Bridge'!C35</f>
        <v/>
      </c>
      <c r="D19" s="30" t="str">
        <f aca="false">'Cost Bridge'!D35</f>
        <v/>
      </c>
      <c r="E19" s="30" t="str">
        <f aca="false">'Cost Bridge'!E35</f>
        <v/>
      </c>
      <c r="F19" s="30" t="str">
        <f aca="false">'Cost Bridge'!F35</f>
        <v/>
      </c>
      <c r="G19" s="30" t="str">
        <f aca="false">'Cost Bridge'!G35</f>
        <v/>
      </c>
      <c r="H19" s="30" t="str">
        <f aca="false">'Cost Bridge'!H35</f>
        <v/>
      </c>
      <c r="I19" s="30" t="str">
        <f aca="false">'Cost Bridge'!I35</f>
        <v/>
      </c>
      <c r="J19" s="30" t="str">
        <f aca="false">'Cost Bridge'!J35</f>
        <v/>
      </c>
      <c r="K19" s="30" t="str">
        <f aca="false">'Cost Bridge'!K35</f>
        <v/>
      </c>
      <c r="L19" s="30" t="str">
        <f aca="false">'Cost Bridge'!L35</f>
        <v/>
      </c>
      <c r="M19" s="30" t="str">
        <f aca="false">'Cost Bridge'!M35</f>
        <v/>
      </c>
      <c r="N19" s="30" t="str">
        <f aca="false">'Cost Bridge'!N35</f>
        <v/>
      </c>
      <c r="O19" s="30" t="str">
        <f aca="false">'Cost Bridge'!O35</f>
        <v/>
      </c>
      <c r="P19" s="30" t="str">
        <f aca="false">'Cost Bridge'!P35</f>
        <v/>
      </c>
      <c r="Q19" s="30" t="str">
        <f aca="false">'Cost Bridge'!Q35</f>
        <v/>
      </c>
      <c r="R19" s="30" t="str">
        <f aca="false">'Cost Bridge'!R35</f>
        <v/>
      </c>
      <c r="S19" s="30" t="str">
        <f aca="false">'Cost Bridge'!S35</f>
        <v/>
      </c>
      <c r="T19" s="30" t="str">
        <f aca="false">'Cost Bridge'!T35</f>
        <v/>
      </c>
      <c r="U19" s="30" t="str">
        <f aca="false">'Cost Bridge'!U35</f>
        <v/>
      </c>
      <c r="V19" s="30" t="str">
        <f aca="false">'Cost Bridge'!V35</f>
        <v/>
      </c>
      <c r="W19" s="30" t="str">
        <f aca="false">'Cost Bridge'!W35</f>
        <v/>
      </c>
      <c r="X19" s="30" t="str">
        <f aca="false">'Cost Bridge'!X35</f>
        <v/>
      </c>
      <c r="Y19" s="30" t="str">
        <f aca="false">'Cost Bridge'!Y35</f>
        <v/>
      </c>
      <c r="Z19" s="30" t="str">
        <f aca="false">'Cost Bridge'!Z35</f>
        <v/>
      </c>
      <c r="AA19" s="30" t="str">
        <f aca="false">'Cost Bridge'!AA35</f>
        <v/>
      </c>
      <c r="AB19" s="30" t="str">
        <f aca="false">'Cost Bridge'!AB35</f>
        <v/>
      </c>
    </row>
    <row r="20" customFormat="false" ht="15" hidden="false" customHeight="true" outlineLevel="0" collapsed="false">
      <c r="A20" s="17" t="s">
        <v>106</v>
      </c>
      <c r="B20" s="27" t="str">
        <f aca="false">IF(OR(B18="",B19=""),"",B18-B19)</f>
        <v/>
      </c>
      <c r="C20" s="27" t="str">
        <f aca="false">IF(OR(C18="",C19=""),"",C18-C19)</f>
        <v/>
      </c>
      <c r="D20" s="27" t="str">
        <f aca="false">IF(OR(D18="",D19=""),"",D18-D19)</f>
        <v/>
      </c>
      <c r="E20" s="27" t="str">
        <f aca="false">IF(OR(E18="",E19=""),"",E18-E19)</f>
        <v/>
      </c>
      <c r="F20" s="27" t="str">
        <f aca="false">IF(OR(F18="",F19=""),"",F18-F19)</f>
        <v/>
      </c>
      <c r="G20" s="27" t="str">
        <f aca="false">IF(OR(G18="",G19=""),"",G18-G19)</f>
        <v/>
      </c>
      <c r="H20" s="27" t="str">
        <f aca="false">IF(OR(H18="",H19=""),"",H18-H19)</f>
        <v/>
      </c>
      <c r="I20" s="27" t="str">
        <f aca="false">IF(OR(I18="",I19=""),"",I18-I19)</f>
        <v/>
      </c>
      <c r="J20" s="27" t="str">
        <f aca="false">IF(OR(J18="",J19=""),"",J18-J19)</f>
        <v/>
      </c>
      <c r="K20" s="27" t="str">
        <f aca="false">IF(OR(K18="",K19=""),"",K18-K19)</f>
        <v/>
      </c>
      <c r="L20" s="27" t="str">
        <f aca="false">IF(OR(L18="",L19=""),"",L18-L19)</f>
        <v/>
      </c>
      <c r="M20" s="27" t="str">
        <f aca="false">IF(OR(M18="",M19=""),"",M18-M19)</f>
        <v/>
      </c>
      <c r="N20" s="27" t="str">
        <f aca="false">IF(OR(N18="",N19=""),"",N18-N19)</f>
        <v/>
      </c>
      <c r="O20" s="27" t="str">
        <f aca="false">IF(OR(O18="",O19=""),"",O18-O19)</f>
        <v/>
      </c>
      <c r="P20" s="27" t="str">
        <f aca="false">IF(OR(P18="",P19=""),"",P18-P19)</f>
        <v/>
      </c>
      <c r="Q20" s="27" t="str">
        <f aca="false">IF(OR(Q18="",Q19=""),"",Q18-Q19)</f>
        <v/>
      </c>
      <c r="R20" s="27" t="str">
        <f aca="false">IF(OR(R18="",R19=""),"",R18-R19)</f>
        <v/>
      </c>
      <c r="S20" s="27" t="str">
        <f aca="false">IF(OR(S18="",S19=""),"",S18-S19)</f>
        <v/>
      </c>
      <c r="T20" s="27" t="str">
        <f aca="false">IF(OR(T18="",T19=""),"",T18-T19)</f>
        <v/>
      </c>
      <c r="U20" s="27" t="str">
        <f aca="false">IF(OR(U18="",U19=""),"",U18-U19)</f>
        <v/>
      </c>
      <c r="V20" s="27" t="str">
        <f aca="false">IF(OR(V18="",V19=""),"",V18-V19)</f>
        <v/>
      </c>
      <c r="W20" s="27" t="str">
        <f aca="false">IF(OR(W18="",W19=""),"",W18-W19)</f>
        <v/>
      </c>
      <c r="X20" s="27" t="str">
        <f aca="false">IF(OR(X18="",X19=""),"",X18-X19)</f>
        <v/>
      </c>
      <c r="Y20" s="27" t="str">
        <f aca="false">IF(OR(Y18="",Y19=""),"",Y18-Y19)</f>
        <v/>
      </c>
      <c r="Z20" s="27" t="str">
        <f aca="false">IF(OR(Z18="",Z19=""),"",Z18-Z19)</f>
        <v/>
      </c>
      <c r="AA20" s="27" t="str">
        <f aca="false">IF(OR(AA18="",AA19=""),"",AA18-AA19)</f>
        <v/>
      </c>
      <c r="AB20" s="27" t="str">
        <f aca="false">IF(OR(AB18="",AB19=""),"",AB18-AB19)</f>
        <v/>
      </c>
    </row>
    <row r="21" customFormat="false" ht="15" hidden="false" customHeight="true" outlineLevel="0" collapsed="false">
      <c r="A21" s="17" t="s">
        <v>107</v>
      </c>
      <c r="B21" s="28" t="str">
        <f aca="false">IFERROR(IF(OR(B18="",B18=0,B20=""),"",B20/B18),"")</f>
        <v/>
      </c>
      <c r="C21" s="28" t="str">
        <f aca="false">IFERROR(IF(OR(C18="",C18=0,C20=""),"",C20/C18),"")</f>
        <v/>
      </c>
      <c r="D21" s="28" t="str">
        <f aca="false">IFERROR(IF(OR(D18="",D18=0,D20=""),"",D20/D18),"")</f>
        <v/>
      </c>
      <c r="E21" s="28" t="str">
        <f aca="false">IFERROR(IF(OR(E18="",E18=0,E20=""),"",E20/E18),"")</f>
        <v/>
      </c>
      <c r="F21" s="28" t="str">
        <f aca="false">IFERROR(IF(OR(F18="",F18=0,F20=""),"",F20/F18),"")</f>
        <v/>
      </c>
      <c r="G21" s="28" t="str">
        <f aca="false">IFERROR(IF(OR(G18="",G18=0,G20=""),"",G20/G18),"")</f>
        <v/>
      </c>
      <c r="H21" s="28" t="str">
        <f aca="false">IFERROR(IF(OR(H18="",H18=0,H20=""),"",H20/H18),"")</f>
        <v/>
      </c>
      <c r="I21" s="28" t="str">
        <f aca="false">IFERROR(IF(OR(I18="",I18=0,I20=""),"",I20/I18),"")</f>
        <v/>
      </c>
      <c r="J21" s="28" t="str">
        <f aca="false">IFERROR(IF(OR(J18="",J18=0,J20=""),"",J20/J18),"")</f>
        <v/>
      </c>
      <c r="K21" s="28" t="str">
        <f aca="false">IFERROR(IF(OR(K18="",K18=0,K20=""),"",K20/K18),"")</f>
        <v/>
      </c>
      <c r="L21" s="28" t="str">
        <f aca="false">IFERROR(IF(OR(L18="",L18=0,L20=""),"",L20/L18),"")</f>
        <v/>
      </c>
      <c r="M21" s="28" t="str">
        <f aca="false">IFERROR(IF(OR(M18="",M18=0,M20=""),"",M20/M18),"")</f>
        <v/>
      </c>
      <c r="N21" s="28" t="str">
        <f aca="false">IFERROR(IF(OR(N18="",N18=0,N20=""),"",N20/N18),"")</f>
        <v/>
      </c>
      <c r="O21" s="28" t="str">
        <f aca="false">IFERROR(IF(OR(O18="",O18=0,O20=""),"",O20/O18),"")</f>
        <v/>
      </c>
      <c r="P21" s="28" t="str">
        <f aca="false">IFERROR(IF(OR(P18="",P18=0,P20=""),"",P20/P18),"")</f>
        <v/>
      </c>
      <c r="Q21" s="28" t="str">
        <f aca="false">IFERROR(IF(OR(Q18="",Q18=0,Q20=""),"",Q20/Q18),"")</f>
        <v/>
      </c>
      <c r="R21" s="28" t="str">
        <f aca="false">IFERROR(IF(OR(R18="",R18=0,R20=""),"",R20/R18),"")</f>
        <v/>
      </c>
      <c r="S21" s="28" t="str">
        <f aca="false">IFERROR(IF(OR(S18="",S18=0,S20=""),"",S20/S18),"")</f>
        <v/>
      </c>
      <c r="T21" s="28" t="str">
        <f aca="false">IFERROR(IF(OR(T18="",T18=0,T20=""),"",T20/T18),"")</f>
        <v/>
      </c>
      <c r="U21" s="28" t="str">
        <f aca="false">IFERROR(IF(OR(U18="",U18=0,U20=""),"",U20/U18),"")</f>
        <v/>
      </c>
      <c r="V21" s="28" t="str">
        <f aca="false">IFERROR(IF(OR(V18="",V18=0,V20=""),"",V20/V18),"")</f>
        <v/>
      </c>
      <c r="W21" s="28" t="str">
        <f aca="false">IFERROR(IF(OR(W18="",W18=0,W20=""),"",W20/W18),"")</f>
        <v/>
      </c>
      <c r="X21" s="28" t="str">
        <f aca="false">IFERROR(IF(OR(X18="",X18=0,X20=""),"",X20/X18),"")</f>
        <v/>
      </c>
      <c r="Y21" s="28" t="str">
        <f aca="false">IFERROR(IF(OR(Y18="",Y18=0,Y20=""),"",Y20/Y18),"")</f>
        <v/>
      </c>
      <c r="Z21" s="28" t="str">
        <f aca="false">IFERROR(IF(OR(Z18="",Z18=0,Z20=""),"",Z20/Z18),"")</f>
        <v/>
      </c>
      <c r="AA21" s="28" t="str">
        <f aca="false">IFERROR(IF(OR(AA18="",AA18=0,AA20=""),"",AA20/AA18),"")</f>
        <v/>
      </c>
      <c r="AB21" s="28" t="str">
        <f aca="false">IFERROR(IF(OR(AB18="",AB18=0,AB20=""),"",AB20/AB18),"")</f>
        <v/>
      </c>
    </row>
    <row r="22" customFormat="false" ht="15" hidden="false" customHeight="true" outlineLevel="0" collapsed="false">
      <c r="A22" s="2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customFormat="false" ht="15" hidden="false" customHeight="true" outlineLevel="0" collapsed="false">
      <c r="A23" s="21" t="s">
        <v>108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customFormat="false" ht="15" hidden="false" customHeight="true" outlineLevel="0" collapsed="false">
      <c r="A24" s="17" t="s">
        <v>109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30" t="str">
        <f aca="false">IF(Assumptions!S28="","",I30*(1+Assumptions!S28))</f>
        <v/>
      </c>
      <c r="T24" s="30" t="str">
        <f aca="false">IF(Assumptions!T28="","",S30*(1+Assumptions!T28))</f>
        <v/>
      </c>
      <c r="U24" s="30" t="str">
        <f aca="false">IF(Assumptions!U28="","",T30*(1+Assumptions!U28))</f>
        <v/>
      </c>
      <c r="V24" s="30" t="str">
        <f aca="false">IF(Assumptions!V28="","",R30*(1+Assumptions!V28))</f>
        <v/>
      </c>
      <c r="W24" s="30" t="str">
        <f aca="false">IF(Assumptions!W28="","",V30*(1+Assumptions!W28))</f>
        <v/>
      </c>
      <c r="X24" s="30" t="str">
        <f aca="false">IF(Assumptions!X28="","",W30*(1+Assumptions!X28))</f>
        <v/>
      </c>
      <c r="Y24" s="30" t="str">
        <f aca="false">IF(Assumptions!Y28="","",X30*(1+Assumptions!Y28))</f>
        <v/>
      </c>
      <c r="Z24" s="30" t="str">
        <f aca="false">IF(Assumptions!Z28="","",Y30*(1+Assumptions!Z28))</f>
        <v/>
      </c>
      <c r="AA24" s="30" t="str">
        <f aca="false">IF(Assumptions!AA28="","",Z30*(1+Assumptions!AA28))</f>
        <v/>
      </c>
      <c r="AB24" s="30" t="str">
        <f aca="false">IF(Assumptions!AB28="","",AA30*(1+Assumptions!AB28))</f>
        <v/>
      </c>
    </row>
    <row r="25" customFormat="false" ht="15" hidden="false" customHeight="true" outlineLevel="0" collapsed="false">
      <c r="A25" s="17" t="s">
        <v>110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30" t="str">
        <f aca="false">IF(Assumptions!S28="","",I25*(1+Assumptions!S28))</f>
        <v/>
      </c>
      <c r="T25" s="30" t="str">
        <f aca="false">IF(Assumptions!T28="","",S25*(1+Assumptions!T28))</f>
        <v/>
      </c>
      <c r="U25" s="30" t="str">
        <f aca="false">IF(Assumptions!U28="","",T25*(1+Assumptions!U28))</f>
        <v/>
      </c>
      <c r="V25" s="30" t="str">
        <f aca="false">IF(Assumptions!V28="","",$I$31/4*(1+Assumptions!V28))</f>
        <v/>
      </c>
      <c r="W25" s="30" t="str">
        <f aca="false">IF(Assumptions!W28="","",V25*(1+Assumptions!W28))</f>
        <v/>
      </c>
      <c r="X25" s="30" t="str">
        <f aca="false">IF(Assumptions!X28="","",W25*(1+Assumptions!X28))</f>
        <v/>
      </c>
      <c r="Y25" s="30" t="str">
        <f aca="false">IF(Assumptions!Y28="","",X25*(1+Assumptions!Y28))</f>
        <v/>
      </c>
      <c r="Z25" s="30" t="str">
        <f aca="false">IF(Assumptions!Z28="","",Y25*(1+Assumptions!Z28))</f>
        <v/>
      </c>
      <c r="AA25" s="30" t="str">
        <f aca="false">IF(Assumptions!AA28="","",Z25*(1+Assumptions!AA28))</f>
        <v/>
      </c>
      <c r="AB25" s="30" t="str">
        <f aca="false">IF(Assumptions!AB28="","",AA25*(1+Assumptions!AB28))</f>
        <v/>
      </c>
    </row>
    <row r="26" customFormat="false" ht="15" hidden="false" customHeight="true" outlineLevel="0" collapsed="false">
      <c r="A26" s="17" t="s">
        <v>111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customFormat="false" ht="15" hidden="false" customHeight="true" outlineLevel="0" collapsed="false">
      <c r="A27" s="17" t="s">
        <v>112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customFormat="false" ht="15" hidden="false" customHeight="true" outlineLevel="0" collapsed="false">
      <c r="A28" s="17" t="s">
        <v>113</v>
      </c>
      <c r="B28" s="27" t="str">
        <f aca="false">IF(COUNT(B6,B12,B18)=0,"",SUM(B6,B12,B18,B24,B26))</f>
        <v/>
      </c>
      <c r="C28" s="27" t="str">
        <f aca="false">IF(COUNT(C6,C12,C18)=0,"",SUM(C6,C12,C18,C24,C26))</f>
        <v/>
      </c>
      <c r="D28" s="27" t="str">
        <f aca="false">IF(COUNT(D6,D12,D18)=0,"",SUM(D6,D12,D18,D24,D26))</f>
        <v/>
      </c>
      <c r="E28" s="27" t="str">
        <f aca="false">IF(COUNT(E6,E12,E18)=0,"",SUM(E6,E12,E18,E24,E26))</f>
        <v/>
      </c>
      <c r="F28" s="27" t="str">
        <f aca="false">IF(COUNT(F6,F12,F18)=0,"",SUM(F6,F12,F18,F24,F26))</f>
        <v/>
      </c>
      <c r="G28" s="27" t="str">
        <f aca="false">IF(COUNT(G6,G12,G18)=0,"",SUM(G6,G12,G18,G24,G26))</f>
        <v/>
      </c>
      <c r="H28" s="27" t="str">
        <f aca="false">IF(COUNT(H6,H12,H18)=0,"",SUM(H6,H12,H18,H24,H26))</f>
        <v/>
      </c>
      <c r="I28" s="27" t="str">
        <f aca="false">IF(COUNT(I6,I12,I18)=0,"",SUM(I6,I12,I18,I24,I26))</f>
        <v/>
      </c>
      <c r="J28" s="27" t="str">
        <f aca="false">IF(COUNT(J6,J12,J18)=0,"",SUM(J6,J12,J18,J24,J26))</f>
        <v/>
      </c>
      <c r="K28" s="27" t="str">
        <f aca="false">IF(COUNT(K6,K12,K18)=0,"",SUM(K6,K12,K18,K24,K26))</f>
        <v/>
      </c>
      <c r="L28" s="27" t="str">
        <f aca="false">IF(COUNT(L6,L12,L18)=0,"",SUM(L6,L12,L18,L24,L26))</f>
        <v/>
      </c>
      <c r="M28" s="27" t="str">
        <f aca="false">IF(COUNT(M6,M12,M18)=0,"",SUM(M6,M12,M18,M24,M26))</f>
        <v/>
      </c>
      <c r="N28" s="27" t="str">
        <f aca="false">IF(COUNT(N6,N12,N18)=0,"",SUM(N6,N12,N18,N24,N26))</f>
        <v/>
      </c>
      <c r="O28" s="27" t="str">
        <f aca="false">IF(COUNT(O6,O12,O18)=0,"",SUM(O6,O12,O18,O24,O26))</f>
        <v/>
      </c>
      <c r="P28" s="27" t="str">
        <f aca="false">IF(COUNT(P6,P12,P18)=0,"",SUM(P6,P12,P18,P24,P26))</f>
        <v/>
      </c>
      <c r="Q28" s="27" t="str">
        <f aca="false">IF(COUNT(Q6,Q12,Q18)=0,"",SUM(Q6,Q12,Q18,Q24,Q26))</f>
        <v/>
      </c>
      <c r="R28" s="27" t="str">
        <f aca="false">IF(COUNT(R6,R12,R18)=0,"",SUM(R6,R12,R18,R24,R26))</f>
        <v/>
      </c>
      <c r="S28" s="27" t="str">
        <f aca="false">IF(COUNT(S6,S12,S18)=0,"",SUM(S6,S12,S18,S24,S26))</f>
        <v/>
      </c>
      <c r="T28" s="27" t="str">
        <f aca="false">IF(COUNT(T6,T12,T18)=0,"",SUM(T6,T12,T18,T24,T26))</f>
        <v/>
      </c>
      <c r="U28" s="27" t="str">
        <f aca="false">IF(COUNT(U6,U12,U18)=0,"",SUM(U6,U12,U18,U24,U26))</f>
        <v/>
      </c>
      <c r="V28" s="27" t="str">
        <f aca="false">IF(COUNT(V6,V12,V18)=0,"",SUM(V6,V12,V18,V24,V26))</f>
        <v/>
      </c>
      <c r="W28" s="27" t="str">
        <f aca="false">IF(COUNT(W6,W12,W18)=0,"",SUM(W6,W12,W18,W24,W26))</f>
        <v/>
      </c>
      <c r="X28" s="27" t="str">
        <f aca="false">IF(COUNT(X6,X12,X18)=0,"",SUM(X6,X12,X18,X24,X26))</f>
        <v/>
      </c>
      <c r="Y28" s="27" t="str">
        <f aca="false">IF(COUNT(Y6,Y12,Y18)=0,"",SUM(Y6,Y12,Y18,Y24,Y26))</f>
        <v/>
      </c>
      <c r="Z28" s="27" t="str">
        <f aca="false">IF(COUNT(Z6,Z12,Z18)=0,"",SUM(Z6,Z12,Z18,Z24,Z26))</f>
        <v/>
      </c>
      <c r="AA28" s="27" t="str">
        <f aca="false">IF(COUNT(AA6,AA12,AA18)=0,"",SUM(AA6,AA12,AA18,AA24,AA26))</f>
        <v/>
      </c>
      <c r="AB28" s="27" t="str">
        <f aca="false">IF(COUNT(AB6,AB12,AB18)=0,"",SUM(AB6,AB12,AB18,AB24,AB26))</f>
        <v/>
      </c>
    </row>
    <row r="29" customFormat="false" ht="15" hidden="false" customHeight="true" outlineLevel="0" collapsed="false">
      <c r="A29" s="17" t="s">
        <v>114</v>
      </c>
      <c r="B29" s="27" t="str">
        <f aca="false">IF(COUNT(B7,B13,B19)=0,"",SUM(B7,B13,B19,B25,B27))</f>
        <v/>
      </c>
      <c r="C29" s="27" t="str">
        <f aca="false">IF(COUNT(C7,C13,C19)=0,"",SUM(C7,C13,C19,C25,C27))</f>
        <v/>
      </c>
      <c r="D29" s="27" t="str">
        <f aca="false">IF(COUNT(D7,D13,D19)=0,"",SUM(D7,D13,D19,D25,D27))</f>
        <v/>
      </c>
      <c r="E29" s="27" t="str">
        <f aca="false">IF(COUNT(E7,E13,E19)=0,"",SUM(E7,E13,E19,E25,E27))</f>
        <v/>
      </c>
      <c r="F29" s="27" t="str">
        <f aca="false">IF(COUNT(F7,F13,F19)=0,"",SUM(F7,F13,F19,F25,F27))</f>
        <v/>
      </c>
      <c r="G29" s="27" t="str">
        <f aca="false">IF(COUNT(G7,G13,G19)=0,"",SUM(G7,G13,G19,G25,G27))</f>
        <v/>
      </c>
      <c r="H29" s="27" t="str">
        <f aca="false">IF(COUNT(H7,H13,H19)=0,"",SUM(H7,H13,H19,H25,H27))</f>
        <v/>
      </c>
      <c r="I29" s="27" t="str">
        <f aca="false">IF(COUNT(I7,I13,I19)=0,"",SUM(I7,I13,I19,I25,I27))</f>
        <v/>
      </c>
      <c r="J29" s="27" t="str">
        <f aca="false">IF(COUNT(J7,J13,J19)=0,"",SUM(J7,J13,J19,J25,J27))</f>
        <v/>
      </c>
      <c r="K29" s="27" t="str">
        <f aca="false">IF(COUNT(K7,K13,K19)=0,"",SUM(K7,K13,K19,K25,K27))</f>
        <v/>
      </c>
      <c r="L29" s="27" t="str">
        <f aca="false">IF(COUNT(L7,L13,L19)=0,"",SUM(L7,L13,L19,L25,L27))</f>
        <v/>
      </c>
      <c r="M29" s="27" t="str">
        <f aca="false">IF(COUNT(M7,M13,M19)=0,"",SUM(M7,M13,M19,M25,M27))</f>
        <v/>
      </c>
      <c r="N29" s="27" t="str">
        <f aca="false">IF(COUNT(N7,N13,N19)=0,"",SUM(N7,N13,N19,N25,N27))</f>
        <v/>
      </c>
      <c r="O29" s="27" t="str">
        <f aca="false">IF(COUNT(O7,O13,O19)=0,"",SUM(O7,O13,O19,O25,O27))</f>
        <v/>
      </c>
      <c r="P29" s="27" t="str">
        <f aca="false">IF(COUNT(P7,P13,P19)=0,"",SUM(P7,P13,P19,P25,P27))</f>
        <v/>
      </c>
      <c r="Q29" s="27" t="str">
        <f aca="false">IF(COUNT(Q7,Q13,Q19)=0,"",SUM(Q7,Q13,Q19,Q25,Q27))</f>
        <v/>
      </c>
      <c r="R29" s="27" t="str">
        <f aca="false">IF(COUNT(R7,R13,R19)=0,"",SUM(R7,R13,R19,R25,R27))</f>
        <v/>
      </c>
      <c r="S29" s="27" t="str">
        <f aca="false">IF(COUNT(S7,S13,S19)=0,"",SUM(S7,S13,S19,S25,S27))</f>
        <v/>
      </c>
      <c r="T29" s="27" t="str">
        <f aca="false">IF(COUNT(T7,T13,T19)=0,"",SUM(T7,T13,T19,T25,T27))</f>
        <v/>
      </c>
      <c r="U29" s="27" t="str">
        <f aca="false">IF(COUNT(U7,U13,U19)=0,"",SUM(U7,U13,U19,U25,U27))</f>
        <v/>
      </c>
      <c r="V29" s="27" t="str">
        <f aca="false">IF(COUNT(V7,V13,V19)=0,"",SUM(V7,V13,V19,V25,V27))</f>
        <v/>
      </c>
      <c r="W29" s="27" t="str">
        <f aca="false">IF(COUNT(W7,W13,W19)=0,"",SUM(W7,W13,W19,W25,W27))</f>
        <v/>
      </c>
      <c r="X29" s="27" t="str">
        <f aca="false">IF(COUNT(X7,X13,X19)=0,"",SUM(X7,X13,X19,X25,X27))</f>
        <v/>
      </c>
      <c r="Y29" s="27" t="str">
        <f aca="false">IF(COUNT(Y7,Y13,Y19)=0,"",SUM(Y7,Y13,Y19,Y25,Y27))</f>
        <v/>
      </c>
      <c r="Z29" s="27" t="str">
        <f aca="false">IF(COUNT(Z7,Z13,Z19)=0,"",SUM(Z7,Z13,Z19,Z25,Z27))</f>
        <v/>
      </c>
      <c r="AA29" s="27" t="str">
        <f aca="false">IF(COUNT(AA7,AA13,AA19)=0,"",SUM(AA7,AA13,AA19,AA25,AA27))</f>
        <v/>
      </c>
      <c r="AB29" s="27" t="str">
        <f aca="false">IF(COUNT(AB7,AB13,AB19)=0,"",SUM(AB7,AB13,AB19,AB25,AB27))</f>
        <v/>
      </c>
    </row>
    <row r="30" customFormat="false" ht="15" hidden="false" customHeight="true" outlineLevel="0" collapsed="false">
      <c r="A30" s="17" t="s">
        <v>115</v>
      </c>
      <c r="B30" s="30" t="str">
        <f aca="false">IF('Consol P&amp;L'!B$6="","",'Consol P&amp;L'!B$6-IF(B28="",0,B28))</f>
        <v/>
      </c>
      <c r="C30" s="30" t="str">
        <f aca="false">IF('Consol P&amp;L'!C$6="","",'Consol P&amp;L'!C$6-IF(C28="",0,C28))</f>
        <v/>
      </c>
      <c r="D30" s="30" t="str">
        <f aca="false">IF('Consol P&amp;L'!D$6="","",'Consol P&amp;L'!D$6-IF(D28="",0,D28))</f>
        <v/>
      </c>
      <c r="E30" s="30" t="str">
        <f aca="false">IF('Consol P&amp;L'!E$6="","",'Consol P&amp;L'!E$6-IF(E28="",0,E28))</f>
        <v/>
      </c>
      <c r="F30" s="30" t="str">
        <f aca="false">IF('Consol P&amp;L'!F$6="","",'Consol P&amp;L'!F$6-IF(F28="",0,F28))</f>
        <v/>
      </c>
      <c r="G30" s="30" t="str">
        <f aca="false">IF('Consol P&amp;L'!G$6="","",'Consol P&amp;L'!G$6-IF(G28="",0,G28))</f>
        <v/>
      </c>
      <c r="H30" s="30" t="str">
        <f aca="false">IF('Consol P&amp;L'!H$6="","",'Consol P&amp;L'!H$6-IF(H28="",0,H28))</f>
        <v/>
      </c>
      <c r="I30" s="30" t="str">
        <f aca="false">IF('Consol P&amp;L'!I$6="","",'Consol P&amp;L'!I$6-IF(I28="",0,I28))</f>
        <v/>
      </c>
      <c r="J30" s="30" t="str">
        <f aca="false">IF('Consol P&amp;L'!J$6="","",'Consol P&amp;L'!J$6-IF(J28="",0,J28))</f>
        <v/>
      </c>
      <c r="K30" s="30" t="str">
        <f aca="false">IF('Consol P&amp;L'!K$6="","",'Consol P&amp;L'!K$6-IF(K28="",0,K28))</f>
        <v/>
      </c>
      <c r="L30" s="30" t="str">
        <f aca="false">IF('Consol P&amp;L'!L$6="","",'Consol P&amp;L'!L$6-IF(L28="",0,L28))</f>
        <v/>
      </c>
      <c r="M30" s="30" t="str">
        <f aca="false">IF('Consol P&amp;L'!M$6="","",'Consol P&amp;L'!M$6-IF(M28="",0,M28))</f>
        <v/>
      </c>
      <c r="N30" s="30" t="str">
        <f aca="false">IF('Consol P&amp;L'!N$6="","",'Consol P&amp;L'!N$6-IF(N28="",0,N28))</f>
        <v/>
      </c>
      <c r="O30" s="30" t="str">
        <f aca="false">IF('Consol P&amp;L'!O$6="","",'Consol P&amp;L'!O$6-IF(O28="",0,O28))</f>
        <v/>
      </c>
      <c r="P30" s="30" t="str">
        <f aca="false">IF('Consol P&amp;L'!P$6="","",'Consol P&amp;L'!P$6-IF(P28="",0,P28))</f>
        <v/>
      </c>
      <c r="Q30" s="30" t="str">
        <f aca="false">IF('Consol P&amp;L'!Q$6="","",'Consol P&amp;L'!Q$6-IF(Q28="",0,Q28))</f>
        <v/>
      </c>
      <c r="R30" s="30" t="str">
        <f aca="false">IF('Consol P&amp;L'!R$6="","",'Consol P&amp;L'!R$6-IF(R28="",0,R28))</f>
        <v/>
      </c>
      <c r="S30" s="27" t="str">
        <f aca="false">""</f>
        <v/>
      </c>
      <c r="T30" s="27" t="str">
        <f aca="false">""</f>
        <v/>
      </c>
      <c r="U30" s="27" t="str">
        <f aca="false">""</f>
        <v/>
      </c>
      <c r="V30" s="27" t="str">
        <f aca="false">""</f>
        <v/>
      </c>
      <c r="W30" s="27" t="str">
        <f aca="false">""</f>
        <v/>
      </c>
      <c r="X30" s="27" t="str">
        <f aca="false">""</f>
        <v/>
      </c>
      <c r="Y30" s="27" t="str">
        <f aca="false">""</f>
        <v/>
      </c>
      <c r="Z30" s="27" t="str">
        <f aca="false">""</f>
        <v/>
      </c>
      <c r="AA30" s="27" t="str">
        <f aca="false">""</f>
        <v/>
      </c>
      <c r="AB30" s="27" t="str">
        <f aca="false">""</f>
        <v/>
      </c>
    </row>
    <row r="31" customFormat="false" ht="15" hidden="false" customHeight="true" outlineLevel="0" collapsed="false">
      <c r="A31" s="17" t="s">
        <v>116</v>
      </c>
      <c r="B31" s="30" t="str">
        <f aca="false">IF('Consol P&amp;L'!B$9="","",'Consol P&amp;L'!B$9-IF(B29="",0,B29))</f>
        <v/>
      </c>
      <c r="C31" s="30" t="str">
        <f aca="false">IF('Consol P&amp;L'!C$9="","",'Consol P&amp;L'!C$9-IF(C29="",0,C29))</f>
        <v/>
      </c>
      <c r="D31" s="30" t="str">
        <f aca="false">IF('Consol P&amp;L'!D$9="","",'Consol P&amp;L'!D$9-IF(D29="",0,D29))</f>
        <v/>
      </c>
      <c r="E31" s="30" t="str">
        <f aca="false">IF('Consol P&amp;L'!E$9="","",'Consol P&amp;L'!E$9-IF(E29="",0,E29))</f>
        <v/>
      </c>
      <c r="F31" s="30" t="str">
        <f aca="false">IF('Consol P&amp;L'!F$9="","",'Consol P&amp;L'!F$9-IF(F29="",0,F29))</f>
        <v/>
      </c>
      <c r="G31" s="30" t="str">
        <f aca="false">IF('Consol P&amp;L'!G$9="","",'Consol P&amp;L'!G$9-IF(G29="",0,G29))</f>
        <v/>
      </c>
      <c r="H31" s="30" t="str">
        <f aca="false">IF('Consol P&amp;L'!H$9="","",'Consol P&amp;L'!H$9-IF(H29="",0,H29))</f>
        <v/>
      </c>
      <c r="I31" s="30" t="str">
        <f aca="false">IF('Consol P&amp;L'!I$9="","",'Consol P&amp;L'!I$9-IF(I29="",0,I29))</f>
        <v/>
      </c>
      <c r="J31" s="30" t="str">
        <f aca="false">IF('Consol P&amp;L'!J$9="","",'Consol P&amp;L'!J$9-IF(J29="",0,J29))</f>
        <v/>
      </c>
      <c r="K31" s="30" t="str">
        <f aca="false">IF('Consol P&amp;L'!K$9="","",'Consol P&amp;L'!K$9-IF(K29="",0,K29))</f>
        <v/>
      </c>
      <c r="L31" s="30" t="str">
        <f aca="false">IF('Consol P&amp;L'!L$9="","",'Consol P&amp;L'!L$9-IF(L29="",0,L29))</f>
        <v/>
      </c>
      <c r="M31" s="30" t="str">
        <f aca="false">IF('Consol P&amp;L'!M$9="","",'Consol P&amp;L'!M$9-IF(M29="",0,M29))</f>
        <v/>
      </c>
      <c r="N31" s="30" t="str">
        <f aca="false">IF('Consol P&amp;L'!N$9="","",'Consol P&amp;L'!N$9-IF(N29="",0,N29))</f>
        <v/>
      </c>
      <c r="O31" s="30" t="str">
        <f aca="false">IF('Consol P&amp;L'!O$9="","",'Consol P&amp;L'!O$9-IF(O29="",0,O29))</f>
        <v/>
      </c>
      <c r="P31" s="30" t="str">
        <f aca="false">IF('Consol P&amp;L'!P$9="","",'Consol P&amp;L'!P$9-IF(P29="",0,P29))</f>
        <v/>
      </c>
      <c r="Q31" s="30" t="str">
        <f aca="false">IF('Consol P&amp;L'!Q$9="","",'Consol P&amp;L'!Q$9-IF(Q29="",0,Q29))</f>
        <v/>
      </c>
      <c r="R31" s="30" t="str">
        <f aca="false">IF('Consol P&amp;L'!R$9="","",'Consol P&amp;L'!R$9-IF(R29="",0,R29))</f>
        <v/>
      </c>
      <c r="S31" s="27" t="str">
        <f aca="false">""</f>
        <v/>
      </c>
      <c r="T31" s="27" t="str">
        <f aca="false">""</f>
        <v/>
      </c>
      <c r="U31" s="27" t="str">
        <f aca="false">""</f>
        <v/>
      </c>
      <c r="V31" s="27" t="str">
        <f aca="false">""</f>
        <v/>
      </c>
      <c r="W31" s="27" t="str">
        <f aca="false">""</f>
        <v/>
      </c>
      <c r="X31" s="27" t="str">
        <f aca="false">""</f>
        <v/>
      </c>
      <c r="Y31" s="27" t="str">
        <f aca="false">""</f>
        <v/>
      </c>
      <c r="Z31" s="27" t="str">
        <f aca="false">""</f>
        <v/>
      </c>
      <c r="AA31" s="27" t="str">
        <f aca="false">""</f>
        <v/>
      </c>
      <c r="AB31" s="27" t="str">
        <f aca="false">""</f>
        <v/>
      </c>
    </row>
    <row r="32" customFormat="false" ht="15" hidden="false" customHeight="true" outlineLevel="0" collapsed="false">
      <c r="A32" s="17" t="s">
        <v>117</v>
      </c>
      <c r="B32" s="30" t="str">
        <f aca="false">IF('Consol P&amp;L'!B$6="","",SUM(B28,B30))</f>
        <v/>
      </c>
      <c r="C32" s="30" t="str">
        <f aca="false">IF('Consol P&amp;L'!C$6="","",SUM(C28,C30))</f>
        <v/>
      </c>
      <c r="D32" s="30" t="str">
        <f aca="false">IF('Consol P&amp;L'!D$6="","",SUM(D28,D30))</f>
        <v/>
      </c>
      <c r="E32" s="30" t="str">
        <f aca="false">IF('Consol P&amp;L'!E$6="","",SUM(E28,E30))</f>
        <v/>
      </c>
      <c r="F32" s="30" t="str">
        <f aca="false">IF('Consol P&amp;L'!F$6="","",SUM(F28,F30))</f>
        <v/>
      </c>
      <c r="G32" s="30" t="str">
        <f aca="false">IF('Consol P&amp;L'!G$6="","",SUM(G28,G30))</f>
        <v/>
      </c>
      <c r="H32" s="30" t="str">
        <f aca="false">IF('Consol P&amp;L'!H$6="","",SUM(H28,H30))</f>
        <v/>
      </c>
      <c r="I32" s="30" t="str">
        <f aca="false">IF('Consol P&amp;L'!I$6="","",SUM(I28,I30))</f>
        <v/>
      </c>
      <c r="J32" s="30" t="str">
        <f aca="false">IF('Consol P&amp;L'!J$6="","",SUM(J28,J30))</f>
        <v/>
      </c>
      <c r="K32" s="30" t="str">
        <f aca="false">IF('Consol P&amp;L'!K$6="","",SUM(K28,K30))</f>
        <v/>
      </c>
      <c r="L32" s="30" t="str">
        <f aca="false">IF('Consol P&amp;L'!L$6="","",SUM(L28,L30))</f>
        <v/>
      </c>
      <c r="M32" s="30" t="str">
        <f aca="false">IF('Consol P&amp;L'!M$6="","",SUM(M28,M30))</f>
        <v/>
      </c>
      <c r="N32" s="30" t="str">
        <f aca="false">IF('Consol P&amp;L'!N$6="","",SUM(N28,N30))</f>
        <v/>
      </c>
      <c r="O32" s="30" t="str">
        <f aca="false">IF('Consol P&amp;L'!O$6="","",SUM(O28,O30))</f>
        <v/>
      </c>
      <c r="P32" s="30" t="str">
        <f aca="false">IF('Consol P&amp;L'!P$6="","",SUM(P28,P30))</f>
        <v/>
      </c>
      <c r="Q32" s="30" t="str">
        <f aca="false">IF('Consol P&amp;L'!Q$6="","",SUM(Q28,Q30))</f>
        <v/>
      </c>
      <c r="R32" s="30" t="str">
        <f aca="false">IF('Consol P&amp;L'!R$6="","",SUM(R28,R30))</f>
        <v/>
      </c>
      <c r="S32" s="27" t="str">
        <f aca="false">IF(S28="","",S28)</f>
        <v/>
      </c>
      <c r="T32" s="27" t="str">
        <f aca="false">IF(T28="","",T28)</f>
        <v/>
      </c>
      <c r="U32" s="27" t="str">
        <f aca="false">IF(U28="","",U28)</f>
        <v/>
      </c>
      <c r="V32" s="27" t="str">
        <f aca="false">IF(V28="","",V28)</f>
        <v/>
      </c>
      <c r="W32" s="27" t="str">
        <f aca="false">IF(W28="","",W28)</f>
        <v/>
      </c>
      <c r="X32" s="27" t="str">
        <f aca="false">IF(X28="","",X28)</f>
        <v/>
      </c>
      <c r="Y32" s="27" t="str">
        <f aca="false">IF(Y28="","",Y28)</f>
        <v/>
      </c>
      <c r="Z32" s="27" t="str">
        <f aca="false">IF(Z28="","",Z28)</f>
        <v/>
      </c>
      <c r="AA32" s="27" t="str">
        <f aca="false">IF(AA28="","",AA28)</f>
        <v/>
      </c>
      <c r="AB32" s="27" t="str">
        <f aca="false">IF(AB28="","",AB28)</f>
        <v/>
      </c>
    </row>
    <row r="33" customFormat="false" ht="15" hidden="false" customHeight="true" outlineLevel="0" collapsed="false">
      <c r="A33" s="17" t="s">
        <v>118</v>
      </c>
      <c r="B33" s="30" t="str">
        <f aca="false">IF('Consol P&amp;L'!B$9="","",SUM(B29,B31))</f>
        <v/>
      </c>
      <c r="C33" s="30" t="str">
        <f aca="false">IF('Consol P&amp;L'!C$9="","",SUM(C29,C31))</f>
        <v/>
      </c>
      <c r="D33" s="30" t="str">
        <f aca="false">IF('Consol P&amp;L'!D$9="","",SUM(D29,D31))</f>
        <v/>
      </c>
      <c r="E33" s="30" t="str">
        <f aca="false">IF('Consol P&amp;L'!E$9="","",SUM(E29,E31))</f>
        <v/>
      </c>
      <c r="F33" s="30" t="str">
        <f aca="false">IF('Consol P&amp;L'!F$9="","",SUM(F29,F31))</f>
        <v/>
      </c>
      <c r="G33" s="30" t="str">
        <f aca="false">IF('Consol P&amp;L'!G$9="","",SUM(G29,G31))</f>
        <v/>
      </c>
      <c r="H33" s="30" t="str">
        <f aca="false">IF('Consol P&amp;L'!H$9="","",SUM(H29,H31))</f>
        <v/>
      </c>
      <c r="I33" s="30" t="str">
        <f aca="false">IF('Consol P&amp;L'!I$9="","",SUM(I29,I31))</f>
        <v/>
      </c>
      <c r="J33" s="30" t="str">
        <f aca="false">IF('Consol P&amp;L'!J$9="","",SUM(J29,J31))</f>
        <v/>
      </c>
      <c r="K33" s="30" t="str">
        <f aca="false">IF('Consol P&amp;L'!K$9="","",SUM(K29,K31))</f>
        <v/>
      </c>
      <c r="L33" s="30" t="str">
        <f aca="false">IF('Consol P&amp;L'!L$9="","",SUM(L29,L31))</f>
        <v/>
      </c>
      <c r="M33" s="30" t="str">
        <f aca="false">IF('Consol P&amp;L'!M$9="","",SUM(M29,M31))</f>
        <v/>
      </c>
      <c r="N33" s="30" t="str">
        <f aca="false">IF('Consol P&amp;L'!N$9="","",SUM(N29,N31))</f>
        <v/>
      </c>
      <c r="O33" s="30" t="str">
        <f aca="false">IF('Consol P&amp;L'!O$9="","",SUM(O29,O31))</f>
        <v/>
      </c>
      <c r="P33" s="30" t="str">
        <f aca="false">IF('Consol P&amp;L'!P$9="","",SUM(P29,P31))</f>
        <v/>
      </c>
      <c r="Q33" s="30" t="str">
        <f aca="false">IF('Consol P&amp;L'!Q$9="","",SUM(Q29,Q31))</f>
        <v/>
      </c>
      <c r="R33" s="30" t="str">
        <f aca="false">IF('Consol P&amp;L'!R$9="","",SUM(R29,R31))</f>
        <v/>
      </c>
      <c r="S33" s="27" t="str">
        <f aca="false">IF(S29="","",S29)</f>
        <v/>
      </c>
      <c r="T33" s="27" t="str">
        <f aca="false">IF(T29="","",T29)</f>
        <v/>
      </c>
      <c r="U33" s="27" t="str">
        <f aca="false">IF(U29="","",U29)</f>
        <v/>
      </c>
      <c r="V33" s="27" t="str">
        <f aca="false">IF(V29="","",V29)</f>
        <v/>
      </c>
      <c r="W33" s="27" t="str">
        <f aca="false">IF(W29="","",W29)</f>
        <v/>
      </c>
      <c r="X33" s="27" t="str">
        <f aca="false">IF(X29="","",X29)</f>
        <v/>
      </c>
      <c r="Y33" s="27" t="str">
        <f aca="false">IF(Y29="","",Y29)</f>
        <v/>
      </c>
      <c r="Z33" s="27" t="str">
        <f aca="false">IF(Z29="","",Z29)</f>
        <v/>
      </c>
      <c r="AA33" s="27" t="str">
        <f aca="false">IF(AA29="","",AA29)</f>
        <v/>
      </c>
      <c r="AB33" s="27" t="str">
        <f aca="false">IF(AB29="","",AB29)</f>
        <v/>
      </c>
    </row>
    <row r="34" customFormat="false" ht="15" hidden="false" customHeight="true" outlineLevel="0" collapsed="false">
      <c r="A34" s="17" t="s">
        <v>119</v>
      </c>
      <c r="B34" s="27" t="str">
        <f aca="false">IF(OR(B32="",B33=""),"",B32-B33)</f>
        <v/>
      </c>
      <c r="C34" s="27" t="str">
        <f aca="false">IF(OR(C32="",C33=""),"",C32-C33)</f>
        <v/>
      </c>
      <c r="D34" s="27" t="str">
        <f aca="false">IF(OR(D32="",D33=""),"",D32-D33)</f>
        <v/>
      </c>
      <c r="E34" s="27" t="str">
        <f aca="false">IF(OR(E32="",E33=""),"",E32-E33)</f>
        <v/>
      </c>
      <c r="F34" s="27" t="str">
        <f aca="false">IF(OR(F32="",F33=""),"",F32-F33)</f>
        <v/>
      </c>
      <c r="G34" s="27" t="str">
        <f aca="false">IF(OR(G32="",G33=""),"",G32-G33)</f>
        <v/>
      </c>
      <c r="H34" s="27" t="str">
        <f aca="false">IF(OR(H32="",H33=""),"",H32-H33)</f>
        <v/>
      </c>
      <c r="I34" s="27" t="str">
        <f aca="false">IF(OR(I32="",I33=""),"",I32-I33)</f>
        <v/>
      </c>
      <c r="J34" s="27" t="str">
        <f aca="false">IF(OR(J32="",J33=""),"",J32-J33)</f>
        <v/>
      </c>
      <c r="K34" s="27" t="str">
        <f aca="false">IF(OR(K32="",K33=""),"",K32-K33)</f>
        <v/>
      </c>
      <c r="L34" s="27" t="str">
        <f aca="false">IF(OR(L32="",L33=""),"",L32-L33)</f>
        <v/>
      </c>
      <c r="M34" s="27" t="str">
        <f aca="false">IF(OR(M32="",M33=""),"",M32-M33)</f>
        <v/>
      </c>
      <c r="N34" s="27" t="str">
        <f aca="false">IF(OR(N32="",N33=""),"",N32-N33)</f>
        <v/>
      </c>
      <c r="O34" s="27" t="str">
        <f aca="false">IF(OR(O32="",O33=""),"",O32-O33)</f>
        <v/>
      </c>
      <c r="P34" s="27" t="str">
        <f aca="false">IF(OR(P32="",P33=""),"",P32-P33)</f>
        <v/>
      </c>
      <c r="Q34" s="27" t="str">
        <f aca="false">IF(OR(Q32="",Q33=""),"",Q32-Q33)</f>
        <v/>
      </c>
      <c r="R34" s="27" t="str">
        <f aca="false">IF(OR(R32="",R33=""),"",R32-R33)</f>
        <v/>
      </c>
      <c r="S34" s="27" t="str">
        <f aca="false">IF(OR(S32="",S33=""),"",S32-S33)</f>
        <v/>
      </c>
      <c r="T34" s="27" t="str">
        <f aca="false">IF(OR(T32="",T33=""),"",T32-T33)</f>
        <v/>
      </c>
      <c r="U34" s="27" t="str">
        <f aca="false">IF(OR(U32="",U33=""),"",U32-U33)</f>
        <v/>
      </c>
      <c r="V34" s="27" t="str">
        <f aca="false">IF(OR(V32="",V33=""),"",V32-V33)</f>
        <v/>
      </c>
      <c r="W34" s="27" t="str">
        <f aca="false">IF(OR(W32="",W33=""),"",W32-W33)</f>
        <v/>
      </c>
      <c r="X34" s="27" t="str">
        <f aca="false">IF(OR(X32="",X33=""),"",X32-X33)</f>
        <v/>
      </c>
      <c r="Y34" s="27" t="str">
        <f aca="false">IF(OR(Y32="",Y33=""),"",Y32-Y33)</f>
        <v/>
      </c>
      <c r="Z34" s="27" t="str">
        <f aca="false">IF(OR(Z32="",Z33=""),"",Z32-Z33)</f>
        <v/>
      </c>
      <c r="AA34" s="27" t="str">
        <f aca="false">IF(OR(AA32="",AA33=""),"",AA32-AA33)</f>
        <v/>
      </c>
      <c r="AB34" s="27" t="str">
        <f aca="false">IF(OR(AB32="",AB33=""),"",AB32-AB33)</f>
        <v/>
      </c>
    </row>
    <row r="35" customFormat="false" ht="15" hidden="false" customHeight="true" outlineLevel="0" collapsed="false">
      <c r="A35" s="17" t="s">
        <v>120</v>
      </c>
      <c r="B35" s="28" t="str">
        <f aca="false">IFERROR(IF(OR(B32="",B32=0,B34=""),"",B34/B32),"")</f>
        <v/>
      </c>
      <c r="C35" s="28" t="str">
        <f aca="false">IFERROR(IF(OR(C32="",C32=0,C34=""),"",C34/C32),"")</f>
        <v/>
      </c>
      <c r="D35" s="28" t="str">
        <f aca="false">IFERROR(IF(OR(D32="",D32=0,D34=""),"",D34/D32),"")</f>
        <v/>
      </c>
      <c r="E35" s="28" t="str">
        <f aca="false">IFERROR(IF(OR(E32="",E32=0,E34=""),"",E34/E32),"")</f>
        <v/>
      </c>
      <c r="F35" s="28" t="str">
        <f aca="false">IFERROR(IF(OR(F32="",F32=0,F34=""),"",F34/F32),"")</f>
        <v/>
      </c>
      <c r="G35" s="28" t="str">
        <f aca="false">IFERROR(IF(OR(G32="",G32=0,G34=""),"",G34/G32),"")</f>
        <v/>
      </c>
      <c r="H35" s="28" t="str">
        <f aca="false">IFERROR(IF(OR(H32="",H32=0,H34=""),"",H34/H32),"")</f>
        <v/>
      </c>
      <c r="I35" s="28" t="str">
        <f aca="false">IFERROR(IF(OR(I32="",I32=0,I34=""),"",I34/I32),"")</f>
        <v/>
      </c>
      <c r="J35" s="28" t="str">
        <f aca="false">IFERROR(IF(OR(J32="",J32=0,J34=""),"",J34/J32),"")</f>
        <v/>
      </c>
      <c r="K35" s="28" t="str">
        <f aca="false">IFERROR(IF(OR(K32="",K32=0,K34=""),"",K34/K32),"")</f>
        <v/>
      </c>
      <c r="L35" s="28" t="str">
        <f aca="false">IFERROR(IF(OR(L32="",L32=0,L34=""),"",L34/L32),"")</f>
        <v/>
      </c>
      <c r="M35" s="28" t="str">
        <f aca="false">IFERROR(IF(OR(M32="",M32=0,M34=""),"",M34/M32),"")</f>
        <v/>
      </c>
      <c r="N35" s="28" t="str">
        <f aca="false">IFERROR(IF(OR(N32="",N32=0,N34=""),"",N34/N32),"")</f>
        <v/>
      </c>
      <c r="O35" s="28" t="str">
        <f aca="false">IFERROR(IF(OR(O32="",O32=0,O34=""),"",O34/O32),"")</f>
        <v/>
      </c>
      <c r="P35" s="28" t="str">
        <f aca="false">IFERROR(IF(OR(P32="",P32=0,P34=""),"",P34/P32),"")</f>
        <v/>
      </c>
      <c r="Q35" s="28" t="str">
        <f aca="false">IFERROR(IF(OR(Q32="",Q32=0,Q34=""),"",Q34/Q32),"")</f>
        <v/>
      </c>
      <c r="R35" s="28" t="str">
        <f aca="false">IFERROR(IF(OR(R32="",R32=0,R34=""),"",R34/R32),"")</f>
        <v/>
      </c>
      <c r="S35" s="28" t="str">
        <f aca="false">IFERROR(IF(OR(S32="",S32=0,S34=""),"",S34/S32),"")</f>
        <v/>
      </c>
      <c r="T35" s="28" t="str">
        <f aca="false">IFERROR(IF(OR(T32="",T32=0,T34=""),"",T34/T32),"")</f>
        <v/>
      </c>
      <c r="U35" s="28" t="str">
        <f aca="false">IFERROR(IF(OR(U32="",U32=0,U34=""),"",U34/U32),"")</f>
        <v/>
      </c>
      <c r="V35" s="28" t="str">
        <f aca="false">IFERROR(IF(OR(V32="",V32=0,V34=""),"",V34/V32),"")</f>
        <v/>
      </c>
      <c r="W35" s="28" t="str">
        <f aca="false">IFERROR(IF(OR(W32="",W32=0,W34=""),"",W34/W32),"")</f>
        <v/>
      </c>
      <c r="X35" s="28" t="str">
        <f aca="false">IFERROR(IF(OR(X32="",X32=0,X34=""),"",X34/X32),"")</f>
        <v/>
      </c>
      <c r="Y35" s="28" t="str">
        <f aca="false">IFERROR(IF(OR(Y32="",Y32=0,Y34=""),"",Y34/Y32),"")</f>
        <v/>
      </c>
      <c r="Z35" s="28" t="str">
        <f aca="false">IFERROR(IF(OR(Z32="",Z32=0,Z34=""),"",Z34/Z32),"")</f>
        <v/>
      </c>
      <c r="AA35" s="28" t="str">
        <f aca="false">IFERROR(IF(OR(AA32="",AA32=0,AA34=""),"",AA34/AA32),"")</f>
        <v/>
      </c>
      <c r="AB35" s="28" t="str">
        <f aca="false">IFERROR(IF(OR(AB32="",AB32=0,AB34=""),"",AB34/AB32),"")</f>
        <v/>
      </c>
    </row>
  </sheetData>
  <mergeCells count="6">
    <mergeCell ref="A1:AB1"/>
    <mergeCell ref="A2:AB2"/>
    <mergeCell ref="A5:AB5"/>
    <mergeCell ref="A11:AB11"/>
    <mergeCell ref="A17:AB17"/>
    <mergeCell ref="A23:A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04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121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7" t="s">
        <v>123</v>
      </c>
      <c r="B5" s="30" t="str">
        <f aca="false">'Segment P&amp;L'!B32</f>
        <v/>
      </c>
      <c r="C5" s="30" t="str">
        <f aca="false">'Segment P&amp;L'!C32</f>
        <v/>
      </c>
      <c r="D5" s="30" t="str">
        <f aca="false">'Segment P&amp;L'!D32</f>
        <v/>
      </c>
      <c r="E5" s="30" t="str">
        <f aca="false">'Segment P&amp;L'!E32</f>
        <v/>
      </c>
      <c r="F5" s="30" t="str">
        <f aca="false">'Segment P&amp;L'!F32</f>
        <v/>
      </c>
      <c r="G5" s="30" t="str">
        <f aca="false">'Segment P&amp;L'!G32</f>
        <v/>
      </c>
      <c r="H5" s="30" t="str">
        <f aca="false">'Segment P&amp;L'!H32</f>
        <v/>
      </c>
      <c r="I5" s="30" t="str">
        <f aca="false">'Segment P&amp;L'!I32</f>
        <v/>
      </c>
      <c r="J5" s="30" t="str">
        <f aca="false">'Segment P&amp;L'!J32</f>
        <v/>
      </c>
      <c r="K5" s="30" t="str">
        <f aca="false">'Segment P&amp;L'!K32</f>
        <v/>
      </c>
      <c r="L5" s="30" t="str">
        <f aca="false">'Segment P&amp;L'!L32</f>
        <v/>
      </c>
      <c r="M5" s="30" t="str">
        <f aca="false">'Segment P&amp;L'!M32</f>
        <v/>
      </c>
      <c r="N5" s="30" t="str">
        <f aca="false">'Segment P&amp;L'!N32</f>
        <v/>
      </c>
      <c r="O5" s="30" t="str">
        <f aca="false">'Segment P&amp;L'!O32</f>
        <v/>
      </c>
      <c r="P5" s="30" t="str">
        <f aca="false">'Segment P&amp;L'!P32</f>
        <v/>
      </c>
      <c r="Q5" s="30" t="str">
        <f aca="false">'Segment P&amp;L'!Q32</f>
        <v/>
      </c>
      <c r="R5" s="30" t="str">
        <f aca="false">'Segment P&amp;L'!R32</f>
        <v/>
      </c>
      <c r="S5" s="30" t="str">
        <f aca="false">'Segment P&amp;L'!S32</f>
        <v/>
      </c>
      <c r="T5" s="30" t="str">
        <f aca="false">'Segment P&amp;L'!T32</f>
        <v/>
      </c>
      <c r="U5" s="30" t="str">
        <f aca="false">'Segment P&amp;L'!U32</f>
        <v/>
      </c>
      <c r="V5" s="30" t="str">
        <f aca="false">'Segment P&amp;L'!V32</f>
        <v/>
      </c>
      <c r="W5" s="30" t="str">
        <f aca="false">'Segment P&amp;L'!W32</f>
        <v/>
      </c>
      <c r="X5" s="30" t="str">
        <f aca="false">'Segment P&amp;L'!X32</f>
        <v/>
      </c>
      <c r="Y5" s="30" t="str">
        <f aca="false">'Segment P&amp;L'!Y32</f>
        <v/>
      </c>
      <c r="Z5" s="30" t="str">
        <f aca="false">'Segment P&amp;L'!Z32</f>
        <v/>
      </c>
      <c r="AA5" s="30" t="str">
        <f aca="false">'Segment P&amp;L'!AA32</f>
        <v/>
      </c>
      <c r="AB5" s="30" t="str">
        <f aca="false">'Segment P&amp;L'!AB32</f>
        <v/>
      </c>
    </row>
    <row r="6" customFormat="false" ht="15" hidden="false" customHeight="true" outlineLevel="0" collapsed="false">
      <c r="A6" s="17" t="s">
        <v>124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7" t="str">
        <f aca="false">IF(S5="","",S5)</f>
        <v/>
      </c>
      <c r="T6" s="27" t="str">
        <f aca="false">IF(T5="","",T5)</f>
        <v/>
      </c>
      <c r="U6" s="27" t="str">
        <f aca="false">IF(U5="","",U5)</f>
        <v/>
      </c>
      <c r="V6" s="27" t="str">
        <f aca="false">IF(V5="","",V5)</f>
        <v/>
      </c>
      <c r="W6" s="27" t="str">
        <f aca="false">IF(W5="","",W5)</f>
        <v/>
      </c>
      <c r="X6" s="27" t="str">
        <f aca="false">IF(X5="","",X5)</f>
        <v/>
      </c>
      <c r="Y6" s="27" t="str">
        <f aca="false">IF(Y5="","",Y5)</f>
        <v/>
      </c>
      <c r="Z6" s="27" t="str">
        <f aca="false">IF(Z5="","",Z5)</f>
        <v/>
      </c>
      <c r="AA6" s="27" t="str">
        <f aca="false">IF(AA5="","",AA5)</f>
        <v/>
      </c>
      <c r="AB6" s="27" t="str">
        <f aca="false">IF(AB5="","",AB5)</f>
        <v/>
      </c>
    </row>
    <row r="7" customFormat="false" ht="15" hidden="false" customHeight="true" outlineLevel="0" collapsed="false">
      <c r="A7" s="17" t="s">
        <v>125</v>
      </c>
      <c r="B7" s="27" t="str">
        <f aca="false">IF(OR(B5="",B6=""),"",B5-B6)</f>
        <v/>
      </c>
      <c r="C7" s="27" t="str">
        <f aca="false">IF(OR(C5="",C6=""),"",C5-C6)</f>
        <v/>
      </c>
      <c r="D7" s="27" t="str">
        <f aca="false">IF(OR(D5="",D6=""),"",D5-D6)</f>
        <v/>
      </c>
      <c r="E7" s="27" t="str">
        <f aca="false">IF(OR(E5="",E6=""),"",E5-E6)</f>
        <v/>
      </c>
      <c r="F7" s="27" t="str">
        <f aca="false">IF(OR(F5="",F6=""),"",F5-F6)</f>
        <v/>
      </c>
      <c r="G7" s="27" t="str">
        <f aca="false">IF(OR(G5="",G6=""),"",G5-G6)</f>
        <v/>
      </c>
      <c r="H7" s="27" t="str">
        <f aca="false">IF(OR(H5="",H6=""),"",H5-H6)</f>
        <v/>
      </c>
      <c r="I7" s="27" t="str">
        <f aca="false">IF(OR(I5="",I6=""),"",I5-I6)</f>
        <v/>
      </c>
      <c r="J7" s="27" t="str">
        <f aca="false">IF(OR(J5="",J6=""),"",J5-J6)</f>
        <v/>
      </c>
      <c r="K7" s="27" t="str">
        <f aca="false">IF(OR(K5="",K6=""),"",K5-K6)</f>
        <v/>
      </c>
      <c r="L7" s="27" t="str">
        <f aca="false">IF(OR(L5="",L6=""),"",L5-L6)</f>
        <v/>
      </c>
      <c r="M7" s="27" t="str">
        <f aca="false">IF(OR(M5="",M6=""),"",M5-M6)</f>
        <v/>
      </c>
      <c r="N7" s="27" t="str">
        <f aca="false">IF(OR(N5="",N6=""),"",N5-N6)</f>
        <v/>
      </c>
      <c r="O7" s="27" t="str">
        <f aca="false">IF(OR(O5="",O6=""),"",O5-O6)</f>
        <v/>
      </c>
      <c r="P7" s="27" t="str">
        <f aca="false">IF(OR(P5="",P6=""),"",P5-P6)</f>
        <v/>
      </c>
      <c r="Q7" s="27" t="str">
        <f aca="false">IF(OR(Q5="",Q6=""),"",Q5-Q6)</f>
        <v/>
      </c>
      <c r="R7" s="27" t="str">
        <f aca="false">IF(OR(R5="",R6=""),"",R5-R6)</f>
        <v/>
      </c>
      <c r="S7" s="27" t="str">
        <f aca="false">IF(OR(S5="",S6=""),"",S5-S6)</f>
        <v/>
      </c>
      <c r="T7" s="27" t="str">
        <f aca="false">IF(OR(T5="",T6=""),"",T5-T6)</f>
        <v/>
      </c>
      <c r="U7" s="27" t="str">
        <f aca="false">IF(OR(U5="",U6=""),"",U5-U6)</f>
        <v/>
      </c>
      <c r="V7" s="27" t="str">
        <f aca="false">IF(OR(V5="",V6=""),"",V5-V6)</f>
        <v/>
      </c>
      <c r="W7" s="27" t="str">
        <f aca="false">IF(OR(W5="",W6=""),"",W5-W6)</f>
        <v/>
      </c>
      <c r="X7" s="27" t="str">
        <f aca="false">IF(OR(X5="",X6=""),"",X5-X6)</f>
        <v/>
      </c>
      <c r="Y7" s="27" t="str">
        <f aca="false">IF(OR(Y5="",Y6=""),"",Y5-Y6)</f>
        <v/>
      </c>
      <c r="Z7" s="27" t="str">
        <f aca="false">IF(OR(Z5="",Z6=""),"",Z5-Z6)</f>
        <v/>
      </c>
      <c r="AA7" s="27" t="str">
        <f aca="false">IF(OR(AA5="",AA6=""),"",AA5-AA6)</f>
        <v/>
      </c>
      <c r="AB7" s="27" t="str">
        <f aca="false">IF(OR(AB5="",AB6=""),"",AB5-AB6)</f>
        <v/>
      </c>
    </row>
    <row r="8" customFormat="false" ht="15" hidden="false" customHeight="true" outlineLevel="0" collapsed="false">
      <c r="A8" s="17" t="s">
        <v>126</v>
      </c>
      <c r="B8" s="30" t="str">
        <f aca="false">'Segment P&amp;L'!B33</f>
        <v/>
      </c>
      <c r="C8" s="30" t="str">
        <f aca="false">'Segment P&amp;L'!C33</f>
        <v/>
      </c>
      <c r="D8" s="30" t="str">
        <f aca="false">'Segment P&amp;L'!D33</f>
        <v/>
      </c>
      <c r="E8" s="30" t="str">
        <f aca="false">'Segment P&amp;L'!E33</f>
        <v/>
      </c>
      <c r="F8" s="30" t="str">
        <f aca="false">'Segment P&amp;L'!F33</f>
        <v/>
      </c>
      <c r="G8" s="30" t="str">
        <f aca="false">'Segment P&amp;L'!G33</f>
        <v/>
      </c>
      <c r="H8" s="30" t="str">
        <f aca="false">'Segment P&amp;L'!H33</f>
        <v/>
      </c>
      <c r="I8" s="30" t="str">
        <f aca="false">'Segment P&amp;L'!I33</f>
        <v/>
      </c>
      <c r="J8" s="30" t="str">
        <f aca="false">'Segment P&amp;L'!J33</f>
        <v/>
      </c>
      <c r="K8" s="30" t="str">
        <f aca="false">'Segment P&amp;L'!K33</f>
        <v/>
      </c>
      <c r="L8" s="30" t="str">
        <f aca="false">'Segment P&amp;L'!L33</f>
        <v/>
      </c>
      <c r="M8" s="30" t="str">
        <f aca="false">'Segment P&amp;L'!M33</f>
        <v/>
      </c>
      <c r="N8" s="30" t="str">
        <f aca="false">'Segment P&amp;L'!N33</f>
        <v/>
      </c>
      <c r="O8" s="30" t="str">
        <f aca="false">'Segment P&amp;L'!O33</f>
        <v/>
      </c>
      <c r="P8" s="30" t="str">
        <f aca="false">'Segment P&amp;L'!P33</f>
        <v/>
      </c>
      <c r="Q8" s="30" t="str">
        <f aca="false">'Segment P&amp;L'!Q33</f>
        <v/>
      </c>
      <c r="R8" s="30" t="str">
        <f aca="false">'Segment P&amp;L'!R33</f>
        <v/>
      </c>
      <c r="S8" s="30" t="str">
        <f aca="false">'Segment P&amp;L'!S33</f>
        <v/>
      </c>
      <c r="T8" s="30" t="str">
        <f aca="false">'Segment P&amp;L'!T33</f>
        <v/>
      </c>
      <c r="U8" s="30" t="str">
        <f aca="false">'Segment P&amp;L'!U33</f>
        <v/>
      </c>
      <c r="V8" s="30" t="str">
        <f aca="false">'Segment P&amp;L'!V33</f>
        <v/>
      </c>
      <c r="W8" s="30" t="str">
        <f aca="false">'Segment P&amp;L'!W33</f>
        <v/>
      </c>
      <c r="X8" s="30" t="str">
        <f aca="false">'Segment P&amp;L'!X33</f>
        <v/>
      </c>
      <c r="Y8" s="30" t="str">
        <f aca="false">'Segment P&amp;L'!Y33</f>
        <v/>
      </c>
      <c r="Z8" s="30" t="str">
        <f aca="false">'Segment P&amp;L'!Z33</f>
        <v/>
      </c>
      <c r="AA8" s="30" t="str">
        <f aca="false">'Segment P&amp;L'!AA33</f>
        <v/>
      </c>
      <c r="AB8" s="30" t="str">
        <f aca="false">'Segment P&amp;L'!AB33</f>
        <v/>
      </c>
    </row>
    <row r="9" customFormat="false" ht="15" hidden="false" customHeight="true" outlineLevel="0" collapsed="false">
      <c r="A9" s="17" t="s">
        <v>127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7" t="str">
        <f aca="false">IF(S8="","",S8)</f>
        <v/>
      </c>
      <c r="T9" s="27" t="str">
        <f aca="false">IF(T8="","",T8)</f>
        <v/>
      </c>
      <c r="U9" s="27" t="str">
        <f aca="false">IF(U8="","",U8)</f>
        <v/>
      </c>
      <c r="V9" s="27" t="str">
        <f aca="false">IF(V8="","",V8)</f>
        <v/>
      </c>
      <c r="W9" s="27" t="str">
        <f aca="false">IF(W8="","",W8)</f>
        <v/>
      </c>
      <c r="X9" s="27" t="str">
        <f aca="false">IF(X8="","",X8)</f>
        <v/>
      </c>
      <c r="Y9" s="27" t="str">
        <f aca="false">IF(Y8="","",Y8)</f>
        <v/>
      </c>
      <c r="Z9" s="27" t="str">
        <f aca="false">IF(Z8="","",Z8)</f>
        <v/>
      </c>
      <c r="AA9" s="27" t="str">
        <f aca="false">IF(AA8="","",AA8)</f>
        <v/>
      </c>
      <c r="AB9" s="27" t="str">
        <f aca="false">IF(AB8="","",AB8)</f>
        <v/>
      </c>
    </row>
    <row r="10" customFormat="false" ht="15" hidden="false" customHeight="true" outlineLevel="0" collapsed="false">
      <c r="A10" s="17" t="s">
        <v>128</v>
      </c>
      <c r="B10" s="27" t="str">
        <f aca="false">IF(OR(B8="",B9=""),"",B8-B9)</f>
        <v/>
      </c>
      <c r="C10" s="27" t="str">
        <f aca="false">IF(OR(C8="",C9=""),"",C8-C9)</f>
        <v/>
      </c>
      <c r="D10" s="27" t="str">
        <f aca="false">IF(OR(D8="",D9=""),"",D8-D9)</f>
        <v/>
      </c>
      <c r="E10" s="27" t="str">
        <f aca="false">IF(OR(E8="",E9=""),"",E8-E9)</f>
        <v/>
      </c>
      <c r="F10" s="27" t="str">
        <f aca="false">IF(OR(F8="",F9=""),"",F8-F9)</f>
        <v/>
      </c>
      <c r="G10" s="27" t="str">
        <f aca="false">IF(OR(G8="",G9=""),"",G8-G9)</f>
        <v/>
      </c>
      <c r="H10" s="27" t="str">
        <f aca="false">IF(OR(H8="",H9=""),"",H8-H9)</f>
        <v/>
      </c>
      <c r="I10" s="27" t="str">
        <f aca="false">IF(OR(I8="",I9=""),"",I8-I9)</f>
        <v/>
      </c>
      <c r="J10" s="27" t="str">
        <f aca="false">IF(OR(J8="",J9=""),"",J8-J9)</f>
        <v/>
      </c>
      <c r="K10" s="27" t="str">
        <f aca="false">IF(OR(K8="",K9=""),"",K8-K9)</f>
        <v/>
      </c>
      <c r="L10" s="27" t="str">
        <f aca="false">IF(OR(L8="",L9=""),"",L8-L9)</f>
        <v/>
      </c>
      <c r="M10" s="27" t="str">
        <f aca="false">IF(OR(M8="",M9=""),"",M8-M9)</f>
        <v/>
      </c>
      <c r="N10" s="27" t="str">
        <f aca="false">IF(OR(N8="",N9=""),"",N8-N9)</f>
        <v/>
      </c>
      <c r="O10" s="27" t="str">
        <f aca="false">IF(OR(O8="",O9=""),"",O8-O9)</f>
        <v/>
      </c>
      <c r="P10" s="27" t="str">
        <f aca="false">IF(OR(P8="",P9=""),"",P8-P9)</f>
        <v/>
      </c>
      <c r="Q10" s="27" t="str">
        <f aca="false">IF(OR(Q8="",Q9=""),"",Q8-Q9)</f>
        <v/>
      </c>
      <c r="R10" s="27" t="str">
        <f aca="false">IF(OR(R8="",R9=""),"",R8-R9)</f>
        <v/>
      </c>
      <c r="S10" s="27" t="str">
        <f aca="false">IF(OR(S8="",S9=""),"",S8-S9)</f>
        <v/>
      </c>
      <c r="T10" s="27" t="str">
        <f aca="false">IF(OR(T8="",T9=""),"",T8-T9)</f>
        <v/>
      </c>
      <c r="U10" s="27" t="str">
        <f aca="false">IF(OR(U8="",U9=""),"",U8-U9)</f>
        <v/>
      </c>
      <c r="V10" s="27" t="str">
        <f aca="false">IF(OR(V8="",V9=""),"",V8-V9)</f>
        <v/>
      </c>
      <c r="W10" s="27" t="str">
        <f aca="false">IF(OR(W8="",W9=""),"",W8-W9)</f>
        <v/>
      </c>
      <c r="X10" s="27" t="str">
        <f aca="false">IF(OR(X8="",X9=""),"",X8-X9)</f>
        <v/>
      </c>
      <c r="Y10" s="27" t="str">
        <f aca="false">IF(OR(Y8="",Y9=""),"",Y8-Y9)</f>
        <v/>
      </c>
      <c r="Z10" s="27" t="str">
        <f aca="false">IF(OR(Z8="",Z9=""),"",Z8-Z9)</f>
        <v/>
      </c>
      <c r="AA10" s="27" t="str">
        <f aca="false">IF(OR(AA8="",AA9=""),"",AA8-AA9)</f>
        <v/>
      </c>
      <c r="AB10" s="27" t="str">
        <f aca="false">IF(OR(AB8="",AB9=""),"",AB8-AB9)</f>
        <v/>
      </c>
    </row>
    <row r="11" customFormat="false" ht="15" hidden="false" customHeight="true" outlineLevel="0" collapsed="false">
      <c r="A11" s="17" t="s">
        <v>106</v>
      </c>
      <c r="B11" s="27" t="str">
        <f aca="false">IF(OR(B6="",B9=""),"",B6-B9)</f>
        <v/>
      </c>
      <c r="C11" s="27" t="str">
        <f aca="false">IF(OR(C6="",C9=""),"",C6-C9)</f>
        <v/>
      </c>
      <c r="D11" s="27" t="str">
        <f aca="false">IF(OR(D6="",D9=""),"",D6-D9)</f>
        <v/>
      </c>
      <c r="E11" s="27" t="str">
        <f aca="false">IF(OR(E6="",E9=""),"",E6-E9)</f>
        <v/>
      </c>
      <c r="F11" s="27" t="str">
        <f aca="false">IF(OR(F6="",F9=""),"",F6-F9)</f>
        <v/>
      </c>
      <c r="G11" s="27" t="str">
        <f aca="false">IF(OR(G6="",G9=""),"",G6-G9)</f>
        <v/>
      </c>
      <c r="H11" s="27" t="str">
        <f aca="false">IF(OR(H6="",H9=""),"",H6-H9)</f>
        <v/>
      </c>
      <c r="I11" s="27" t="str">
        <f aca="false">IF(OR(I6="",I9=""),"",I6-I9)</f>
        <v/>
      </c>
      <c r="J11" s="27" t="str">
        <f aca="false">IF(OR(J6="",J9=""),"",J6-J9)</f>
        <v/>
      </c>
      <c r="K11" s="27" t="str">
        <f aca="false">IF(OR(K6="",K9=""),"",K6-K9)</f>
        <v/>
      </c>
      <c r="L11" s="27" t="str">
        <f aca="false">IF(OR(L6="",L9=""),"",L6-L9)</f>
        <v/>
      </c>
      <c r="M11" s="27" t="str">
        <f aca="false">IF(OR(M6="",M9=""),"",M6-M9)</f>
        <v/>
      </c>
      <c r="N11" s="27" t="str">
        <f aca="false">IF(OR(N6="",N9=""),"",N6-N9)</f>
        <v/>
      </c>
      <c r="O11" s="27" t="str">
        <f aca="false">IF(OR(O6="",O9=""),"",O6-O9)</f>
        <v/>
      </c>
      <c r="P11" s="27" t="str">
        <f aca="false">IF(OR(P6="",P9=""),"",P6-P9)</f>
        <v/>
      </c>
      <c r="Q11" s="27" t="str">
        <f aca="false">IF(OR(Q6="",Q9=""),"",Q6-Q9)</f>
        <v/>
      </c>
      <c r="R11" s="27" t="str">
        <f aca="false">IF(OR(R6="",R9=""),"",R6-R9)</f>
        <v/>
      </c>
      <c r="S11" s="27" t="str">
        <f aca="false">IF(OR(S6="",S9=""),"",S6-S9)</f>
        <v/>
      </c>
      <c r="T11" s="27" t="str">
        <f aca="false">IF(OR(T6="",T9=""),"",T6-T9)</f>
        <v/>
      </c>
      <c r="U11" s="27" t="str">
        <f aca="false">IF(OR(U6="",U9=""),"",U6-U9)</f>
        <v/>
      </c>
      <c r="V11" s="27" t="str">
        <f aca="false">IF(OR(V6="",V9=""),"",V6-V9)</f>
        <v/>
      </c>
      <c r="W11" s="27" t="str">
        <f aca="false">IF(OR(W6="",W9=""),"",W6-W9)</f>
        <v/>
      </c>
      <c r="X11" s="27" t="str">
        <f aca="false">IF(OR(X6="",X9=""),"",X6-X9)</f>
        <v/>
      </c>
      <c r="Y11" s="27" t="str">
        <f aca="false">IF(OR(Y6="",Y9=""),"",Y6-Y9)</f>
        <v/>
      </c>
      <c r="Z11" s="27" t="str">
        <f aca="false">IF(OR(Z6="",Z9=""),"",Z6-Z9)</f>
        <v/>
      </c>
      <c r="AA11" s="27" t="str">
        <f aca="false">IF(OR(AA6="",AA9=""),"",AA6-AA9)</f>
        <v/>
      </c>
      <c r="AB11" s="27" t="str">
        <f aca="false">IF(OR(AB6="",AB9=""),"",AB6-AB9)</f>
        <v/>
      </c>
    </row>
    <row r="12" customFormat="false" ht="15" hidden="false" customHeight="true" outlineLevel="0" collapsed="false">
      <c r="A12" s="17" t="s">
        <v>107</v>
      </c>
      <c r="B12" s="28" t="str">
        <f aca="false">IFERROR(IF(OR(B6="",B6=0,B11=""),"",B11/B6),"")</f>
        <v/>
      </c>
      <c r="C12" s="28" t="str">
        <f aca="false">IFERROR(IF(OR(C6="",C6=0,C11=""),"",C11/C6),"")</f>
        <v/>
      </c>
      <c r="D12" s="28" t="str">
        <f aca="false">IFERROR(IF(OR(D6="",D6=0,D11=""),"",D11/D6),"")</f>
        <v/>
      </c>
      <c r="E12" s="28" t="str">
        <f aca="false">IFERROR(IF(OR(E6="",E6=0,E11=""),"",E11/E6),"")</f>
        <v/>
      </c>
      <c r="F12" s="28" t="str">
        <f aca="false">IFERROR(IF(OR(F6="",F6=0,F11=""),"",F11/F6),"")</f>
        <v/>
      </c>
      <c r="G12" s="28" t="str">
        <f aca="false">IFERROR(IF(OR(G6="",G6=0,G11=""),"",G11/G6),"")</f>
        <v/>
      </c>
      <c r="H12" s="28" t="str">
        <f aca="false">IFERROR(IF(OR(H6="",H6=0,H11=""),"",H11/H6),"")</f>
        <v/>
      </c>
      <c r="I12" s="28" t="str">
        <f aca="false">IFERROR(IF(OR(I6="",I6=0,I11=""),"",I11/I6),"")</f>
        <v/>
      </c>
      <c r="J12" s="28" t="str">
        <f aca="false">IFERROR(IF(OR(J6="",J6=0,J11=""),"",J11/J6),"")</f>
        <v/>
      </c>
      <c r="K12" s="28" t="str">
        <f aca="false">IFERROR(IF(OR(K6="",K6=0,K11=""),"",K11/K6),"")</f>
        <v/>
      </c>
      <c r="L12" s="28" t="str">
        <f aca="false">IFERROR(IF(OR(L6="",L6=0,L11=""),"",L11/L6),"")</f>
        <v/>
      </c>
      <c r="M12" s="28" t="str">
        <f aca="false">IFERROR(IF(OR(M6="",M6=0,M11=""),"",M11/M6),"")</f>
        <v/>
      </c>
      <c r="N12" s="28" t="str">
        <f aca="false">IFERROR(IF(OR(N6="",N6=0,N11=""),"",N11/N6),"")</f>
        <v/>
      </c>
      <c r="O12" s="28" t="str">
        <f aca="false">IFERROR(IF(OR(O6="",O6=0,O11=""),"",O11/O6),"")</f>
        <v/>
      </c>
      <c r="P12" s="28" t="str">
        <f aca="false">IFERROR(IF(OR(P6="",P6=0,P11=""),"",P11/P6),"")</f>
        <v/>
      </c>
      <c r="Q12" s="28" t="str">
        <f aca="false">IFERROR(IF(OR(Q6="",Q6=0,Q11=""),"",Q11/Q6),"")</f>
        <v/>
      </c>
      <c r="R12" s="28" t="str">
        <f aca="false">IFERROR(IF(OR(R6="",R6=0,R11=""),"",R11/R6),"")</f>
        <v/>
      </c>
      <c r="S12" s="28" t="str">
        <f aca="false">IFERROR(IF(OR(S6="",S6=0,S11=""),"",S11/S6),"")</f>
        <v/>
      </c>
      <c r="T12" s="28" t="str">
        <f aca="false">IFERROR(IF(OR(T6="",T6=0,T11=""),"",T11/T6),"")</f>
        <v/>
      </c>
      <c r="U12" s="28" t="str">
        <f aca="false">IFERROR(IF(OR(U6="",U6=0,U11=""),"",U11/U6),"")</f>
        <v/>
      </c>
      <c r="V12" s="28" t="str">
        <f aca="false">IFERROR(IF(OR(V6="",V6=0,V11=""),"",V11/V6),"")</f>
        <v/>
      </c>
      <c r="W12" s="28" t="str">
        <f aca="false">IFERROR(IF(OR(W6="",W6=0,W11=""),"",W11/W6),"")</f>
        <v/>
      </c>
      <c r="X12" s="28" t="str">
        <f aca="false">IFERROR(IF(OR(X6="",X6=0,X11=""),"",X11/X6),"")</f>
        <v/>
      </c>
      <c r="Y12" s="28" t="str">
        <f aca="false">IFERROR(IF(OR(Y6="",Y6=0,Y11=""),"",Y11/Y6),"")</f>
        <v/>
      </c>
      <c r="Z12" s="28" t="str">
        <f aca="false">IFERROR(IF(OR(Z6="",Z6=0,Z11=""),"",Z11/Z6),"")</f>
        <v/>
      </c>
      <c r="AA12" s="28" t="str">
        <f aca="false">IFERROR(IF(OR(AA6="",AA6=0,AA11=""),"",AA11/AA6),"")</f>
        <v/>
      </c>
      <c r="AB12" s="28" t="str">
        <f aca="false">IFERROR(IF(OR(AB6="",AB6=0,AB11=""),"",AB11/AB6),"")</f>
        <v/>
      </c>
    </row>
    <row r="13" customFormat="false" ht="15" hidden="false" customHeight="true" outlineLevel="0" collapsed="false">
      <c r="A13" s="17" t="s">
        <v>129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7" t="str">
        <f aca="false">IF(OR(S11="",S15=""),"",S11-S6*S15)</f>
        <v/>
      </c>
      <c r="T13" s="27" t="str">
        <f aca="false">IF(OR(T11="",T15=""),"",T11-T6*T15)</f>
        <v/>
      </c>
      <c r="U13" s="27" t="str">
        <f aca="false">IF(OR(U11="",U15=""),"",U11-U6*U15)</f>
        <v/>
      </c>
      <c r="V13" s="27" t="str">
        <f aca="false">IF(OR(V11="",V15=""),"",V11-V6*V15)</f>
        <v/>
      </c>
      <c r="W13" s="27" t="str">
        <f aca="false">IF(OR(W11="",W15=""),"",W11-W6*W15)</f>
        <v/>
      </c>
      <c r="X13" s="27" t="str">
        <f aca="false">IF(OR(X11="",X15=""),"",X11-X6*X15)</f>
        <v/>
      </c>
      <c r="Y13" s="27" t="str">
        <f aca="false">IF(OR(Y11="",Y15=""),"",Y11-Y6*Y15)</f>
        <v/>
      </c>
      <c r="Z13" s="27" t="str">
        <f aca="false">IF(OR(Z11="",Z15=""),"",Z11-Z6*Z15)</f>
        <v/>
      </c>
      <c r="AA13" s="27" t="str">
        <f aca="false">IF(OR(AA11="",AA15=""),"",AA11-AA6*AA15)</f>
        <v/>
      </c>
      <c r="AB13" s="27" t="str">
        <f aca="false">IF(OR(AB11="",AB15=""),"",AB11-AB6*AB15)</f>
        <v/>
      </c>
    </row>
    <row r="14" customFormat="false" ht="15" hidden="false" customHeight="true" outlineLevel="0" collapsed="false">
      <c r="A14" s="17" t="s">
        <v>130</v>
      </c>
      <c r="B14" s="27" t="str">
        <f aca="false">IF(OR(B11="",B13=""),"",B11-B13)</f>
        <v/>
      </c>
      <c r="C14" s="27" t="str">
        <f aca="false">IF(OR(C11="",C13=""),"",C11-C13)</f>
        <v/>
      </c>
      <c r="D14" s="27" t="str">
        <f aca="false">IF(OR(D11="",D13=""),"",D11-D13)</f>
        <v/>
      </c>
      <c r="E14" s="27" t="str">
        <f aca="false">IF(OR(E11="",E13=""),"",E11-E13)</f>
        <v/>
      </c>
      <c r="F14" s="27" t="str">
        <f aca="false">IF(OR(F11="",F13=""),"",F11-F13)</f>
        <v/>
      </c>
      <c r="G14" s="27" t="str">
        <f aca="false">IF(OR(G11="",G13=""),"",G11-G13)</f>
        <v/>
      </c>
      <c r="H14" s="27" t="str">
        <f aca="false">IF(OR(H11="",H13=""),"",H11-H13)</f>
        <v/>
      </c>
      <c r="I14" s="27" t="str">
        <f aca="false">IF(OR(I11="",I13=""),"",I11-I13)</f>
        <v/>
      </c>
      <c r="J14" s="27" t="str">
        <f aca="false">IF(OR(J11="",J13=""),"",J11-J13)</f>
        <v/>
      </c>
      <c r="K14" s="27" t="str">
        <f aca="false">IF(OR(K11="",K13=""),"",K11-K13)</f>
        <v/>
      </c>
      <c r="L14" s="27" t="str">
        <f aca="false">IF(OR(L11="",L13=""),"",L11-L13)</f>
        <v/>
      </c>
      <c r="M14" s="27" t="str">
        <f aca="false">IF(OR(M11="",M13=""),"",M11-M13)</f>
        <v/>
      </c>
      <c r="N14" s="27" t="str">
        <f aca="false">IF(OR(N11="",N13=""),"",N11-N13)</f>
        <v/>
      </c>
      <c r="O14" s="27" t="str">
        <f aca="false">IF(OR(O11="",O13=""),"",O11-O13)</f>
        <v/>
      </c>
      <c r="P14" s="27" t="str">
        <f aca="false">IF(OR(P11="",P13=""),"",P11-P13)</f>
        <v/>
      </c>
      <c r="Q14" s="27" t="str">
        <f aca="false">IF(OR(Q11="",Q13=""),"",Q11-Q13)</f>
        <v/>
      </c>
      <c r="R14" s="27" t="str">
        <f aca="false">IF(OR(R11="",R13=""),"",R11-R13)</f>
        <v/>
      </c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customFormat="false" ht="15" hidden="false" customHeight="true" outlineLevel="0" collapsed="false">
      <c r="A15" s="17" t="s">
        <v>76</v>
      </c>
      <c r="B15" s="28" t="str">
        <f aca="false">IFERROR(IF(OR(B6="",B6=0,B14=""),"",B14/B6),"")</f>
        <v/>
      </c>
      <c r="C15" s="28" t="str">
        <f aca="false">IFERROR(IF(OR(C6="",C6=0,C14=""),"",C14/C6),"")</f>
        <v/>
      </c>
      <c r="D15" s="28" t="str">
        <f aca="false">IFERROR(IF(OR(D6="",D6=0,D14=""),"",D14/D6),"")</f>
        <v/>
      </c>
      <c r="E15" s="28" t="str">
        <f aca="false">IFERROR(IF(OR(E6="",E6=0,E14=""),"",E14/E6),"")</f>
        <v/>
      </c>
      <c r="F15" s="28" t="str">
        <f aca="false">IFERROR(IF(OR(F6="",F6=0,F14=""),"",F14/F6),"")</f>
        <v/>
      </c>
      <c r="G15" s="28" t="str">
        <f aca="false">IFERROR(IF(OR(G6="",G6=0,G14=""),"",G14/G6),"")</f>
        <v/>
      </c>
      <c r="H15" s="28" t="str">
        <f aca="false">IFERROR(IF(OR(H6="",H6=0,H14=""),"",H14/H6),"")</f>
        <v/>
      </c>
      <c r="I15" s="28" t="str">
        <f aca="false">IFERROR(IF(OR(I6="",I6=0,I14=""),"",I14/I6),"")</f>
        <v/>
      </c>
      <c r="J15" s="28" t="str">
        <f aca="false">IFERROR(IF(OR(J6="",J6=0,J14=""),"",J14/J6),"")</f>
        <v/>
      </c>
      <c r="K15" s="28" t="str">
        <f aca="false">IFERROR(IF(OR(K6="",K6=0,K14=""),"",K14/K6),"")</f>
        <v/>
      </c>
      <c r="L15" s="28" t="str">
        <f aca="false">IFERROR(IF(OR(L6="",L6=0,L14=""),"",L14/L6),"")</f>
        <v/>
      </c>
      <c r="M15" s="28" t="str">
        <f aca="false">IFERROR(IF(OR(M6="",M6=0,M14=""),"",M14/M6),"")</f>
        <v/>
      </c>
      <c r="N15" s="28" t="str">
        <f aca="false">IFERROR(IF(OR(N6="",N6=0,N14=""),"",N14/N6),"")</f>
        <v/>
      </c>
      <c r="O15" s="28" t="str">
        <f aca="false">IFERROR(IF(OR(O6="",O6=0,O14=""),"",O14/O6),"")</f>
        <v/>
      </c>
      <c r="P15" s="28" t="str">
        <f aca="false">IFERROR(IF(OR(P6="",P6=0,P14=""),"",P14/P6),"")</f>
        <v/>
      </c>
      <c r="Q15" s="28" t="str">
        <f aca="false">IFERROR(IF(OR(Q6="",Q6=0,Q14=""),"",Q14/Q6),"")</f>
        <v/>
      </c>
      <c r="R15" s="28" t="str">
        <f aca="false">IFERROR(IF(OR(R6="",R6=0,R14=""),"",R14/R6),"")</f>
        <v/>
      </c>
      <c r="S15" s="29" t="str">
        <f aca="false">IF(Assumptions!S29="","",Assumptions!S29)</f>
        <v/>
      </c>
      <c r="T15" s="29" t="str">
        <f aca="false">IF(Assumptions!T29="","",Assumptions!T29)</f>
        <v/>
      </c>
      <c r="U15" s="29" t="str">
        <f aca="false">IF(Assumptions!U29="","",Assumptions!U29)</f>
        <v/>
      </c>
      <c r="V15" s="29" t="str">
        <f aca="false">IF(Assumptions!V29="","",Assumptions!V29)</f>
        <v/>
      </c>
      <c r="W15" s="29" t="str">
        <f aca="false">IF(Assumptions!W29="","",Assumptions!W29)</f>
        <v/>
      </c>
      <c r="X15" s="29" t="str">
        <f aca="false">IF(Assumptions!X29="","",Assumptions!X29)</f>
        <v/>
      </c>
      <c r="Y15" s="29" t="str">
        <f aca="false">IF(Assumptions!Y29="","",Assumptions!Y29)</f>
        <v/>
      </c>
      <c r="Z15" s="29" t="str">
        <f aca="false">IF(Assumptions!Z29="","",Assumptions!Z29)</f>
        <v/>
      </c>
      <c r="AA15" s="29" t="str">
        <f aca="false">IF(Assumptions!AA29="","",Assumptions!AA29)</f>
        <v/>
      </c>
      <c r="AB15" s="29" t="str">
        <f aca="false">IF(Assumptions!AB29="","",Assumptions!AB29)</f>
        <v/>
      </c>
    </row>
    <row r="16" customFormat="false" ht="15" hidden="false" customHeight="true" outlineLevel="0" collapsed="false">
      <c r="A16" s="17" t="s">
        <v>131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7" t="str">
        <f aca="false">IF(OR(S13="",S17=""),"",S13*S17)</f>
        <v/>
      </c>
      <c r="T16" s="27" t="str">
        <f aca="false">IF(OR(T13="",T17=""),"",T13*T17)</f>
        <v/>
      </c>
      <c r="U16" s="27" t="str">
        <f aca="false">IF(OR(U13="",U17=""),"",U13*U17)</f>
        <v/>
      </c>
      <c r="V16" s="27" t="str">
        <f aca="false">IF(OR(V13="",V17=""),"",V13*V17)</f>
        <v/>
      </c>
      <c r="W16" s="27" t="str">
        <f aca="false">IF(OR(W13="",W17=""),"",W13*W17)</f>
        <v/>
      </c>
      <c r="X16" s="27" t="str">
        <f aca="false">IF(OR(X13="",X17=""),"",X13*X17)</f>
        <v/>
      </c>
      <c r="Y16" s="27" t="str">
        <f aca="false">IF(OR(Y13="",Y17=""),"",Y13*Y17)</f>
        <v/>
      </c>
      <c r="Z16" s="27" t="str">
        <f aca="false">IF(OR(Z13="",Z17=""),"",Z13*Z17)</f>
        <v/>
      </c>
      <c r="AA16" s="27" t="str">
        <f aca="false">IF(OR(AA13="",AA17=""),"",AA13*AA17)</f>
        <v/>
      </c>
      <c r="AB16" s="27" t="str">
        <f aca="false">IF(OR(AB13="",AB17=""),"",AB13*AB17)</f>
        <v/>
      </c>
    </row>
    <row r="17" customFormat="false" ht="15" hidden="false" customHeight="true" outlineLevel="0" collapsed="false">
      <c r="A17" s="17" t="s">
        <v>77</v>
      </c>
      <c r="B17" s="28" t="str">
        <f aca="false">IFERROR(IF(OR(B13="",B13=0,B16=""),"",B16/B13),"")</f>
        <v/>
      </c>
      <c r="C17" s="28" t="str">
        <f aca="false">IFERROR(IF(OR(C13="",C13=0,C16=""),"",C16/C13),"")</f>
        <v/>
      </c>
      <c r="D17" s="28" t="str">
        <f aca="false">IFERROR(IF(OR(D13="",D13=0,D16=""),"",D16/D13),"")</f>
        <v/>
      </c>
      <c r="E17" s="28" t="str">
        <f aca="false">IFERROR(IF(OR(E13="",E13=0,E16=""),"",E16/E13),"")</f>
        <v/>
      </c>
      <c r="F17" s="28" t="str">
        <f aca="false">IFERROR(IF(OR(F13="",F13=0,F16=""),"",F16/F13),"")</f>
        <v/>
      </c>
      <c r="G17" s="28" t="str">
        <f aca="false">IFERROR(IF(OR(G13="",G13=0,G16=""),"",G16/G13),"")</f>
        <v/>
      </c>
      <c r="H17" s="28" t="str">
        <f aca="false">IFERROR(IF(OR(H13="",H13=0,H16=""),"",H16/H13),"")</f>
        <v/>
      </c>
      <c r="I17" s="28" t="str">
        <f aca="false">IFERROR(IF(OR(I13="",I13=0,I16=""),"",I16/I13),"")</f>
        <v/>
      </c>
      <c r="J17" s="28" t="str">
        <f aca="false">IFERROR(IF(OR(J13="",J13=0,J16=""),"",J16/J13),"")</f>
        <v/>
      </c>
      <c r="K17" s="28" t="str">
        <f aca="false">IFERROR(IF(OR(K13="",K13=0,K16=""),"",K16/K13),"")</f>
        <v/>
      </c>
      <c r="L17" s="28" t="str">
        <f aca="false">IFERROR(IF(OR(L13="",L13=0,L16=""),"",L16/L13),"")</f>
        <v/>
      </c>
      <c r="M17" s="28" t="str">
        <f aca="false">IFERROR(IF(OR(M13="",M13=0,M16=""),"",M16/M13),"")</f>
        <v/>
      </c>
      <c r="N17" s="28" t="str">
        <f aca="false">IFERROR(IF(OR(N13="",N13=0,N16=""),"",N16/N13),"")</f>
        <v/>
      </c>
      <c r="O17" s="28" t="str">
        <f aca="false">IFERROR(IF(OR(O13="",O13=0,O16=""),"",O16/O13),"")</f>
        <v/>
      </c>
      <c r="P17" s="28" t="str">
        <f aca="false">IFERROR(IF(OR(P13="",P13=0,P16=""),"",P16/P13),"")</f>
        <v/>
      </c>
      <c r="Q17" s="28" t="str">
        <f aca="false">IFERROR(IF(OR(Q13="",Q13=0,Q16=""),"",Q16/Q13),"")</f>
        <v/>
      </c>
      <c r="R17" s="28" t="str">
        <f aca="false">IFERROR(IF(OR(R13="",R13=0,R16=""),"",R16/R13),"")</f>
        <v/>
      </c>
      <c r="S17" s="29" t="str">
        <f aca="false">IF(Assumptions!S30="","",Assumptions!S30)</f>
        <v/>
      </c>
      <c r="T17" s="29" t="str">
        <f aca="false">IF(Assumptions!T30="","",Assumptions!T30)</f>
        <v/>
      </c>
      <c r="U17" s="29" t="str">
        <f aca="false">IF(Assumptions!U30="","",Assumptions!U30)</f>
        <v/>
      </c>
      <c r="V17" s="29" t="str">
        <f aca="false">IF(Assumptions!V30="","",Assumptions!V30)</f>
        <v/>
      </c>
      <c r="W17" s="29" t="str">
        <f aca="false">IF(Assumptions!W30="","",Assumptions!W30)</f>
        <v/>
      </c>
      <c r="X17" s="29" t="str">
        <f aca="false">IF(Assumptions!X30="","",Assumptions!X30)</f>
        <v/>
      </c>
      <c r="Y17" s="29" t="str">
        <f aca="false">IF(Assumptions!Y30="","",Assumptions!Y30)</f>
        <v/>
      </c>
      <c r="Z17" s="29" t="str">
        <f aca="false">IF(Assumptions!Z30="","",Assumptions!Z30)</f>
        <v/>
      </c>
      <c r="AA17" s="29" t="str">
        <f aca="false">IF(Assumptions!AA30="","",Assumptions!AA30)</f>
        <v/>
      </c>
      <c r="AB17" s="29" t="str">
        <f aca="false">IF(Assumptions!AB30="","",Assumptions!AB30)</f>
        <v/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0.95"/>
    <col collapsed="false" customWidth="true" hidden="false" outlineLevel="0" max="28" min="2" style="1" width="11.83"/>
  </cols>
  <sheetData>
    <row r="1" customFormat="false" ht="18" hidden="false" customHeight="true" outlineLevel="0" collapsed="false">
      <c r="A1" s="12" t="s">
        <v>132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</row>
    <row r="5" customFormat="false" ht="15" hidden="false" customHeight="true" outlineLevel="0" collapsed="false">
      <c r="A5" s="17" t="s">
        <v>134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30" t="str">
        <f aca="false">IF('Consol P&amp;L'!S16="","",'Consol P&amp;L'!S16*IFERROR(I8,1))</f>
        <v/>
      </c>
      <c r="T5" s="30" t="str">
        <f aca="false">IF('Consol P&amp;L'!T16="","",'Consol P&amp;L'!T16*IFERROR(I8,1))</f>
        <v/>
      </c>
      <c r="U5" s="30" t="str">
        <f aca="false">IF('Consol P&amp;L'!U16="","",'Consol P&amp;L'!U16*IFERROR(I8,1))</f>
        <v/>
      </c>
      <c r="V5" s="30" t="str">
        <f aca="false">IF('Consol P&amp;L'!V16="","",'Consol P&amp;L'!V16*IFERROR(R8,1))</f>
        <v/>
      </c>
      <c r="W5" s="30" t="str">
        <f aca="false">IF('Consol P&amp;L'!W16="","",'Consol P&amp;L'!W16*IFERROR(R8,1))</f>
        <v/>
      </c>
      <c r="X5" s="30" t="str">
        <f aca="false">IF('Consol P&amp;L'!X16="","",'Consol P&amp;L'!X16*IFERROR(R8,1))</f>
        <v/>
      </c>
      <c r="Y5" s="30" t="str">
        <f aca="false">IF('Consol P&amp;L'!Y16="","",'Consol P&amp;L'!Y16*IFERROR(R8,1))</f>
        <v/>
      </c>
      <c r="Z5" s="30" t="str">
        <f aca="false">IF('Consol P&amp;L'!Z16="","",'Consol P&amp;L'!Z16*IFERROR(R8,1))</f>
        <v/>
      </c>
      <c r="AA5" s="30" t="str">
        <f aca="false">IF('Consol P&amp;L'!AA16="","",'Consol P&amp;L'!AA16*IFERROR(R8,1))</f>
        <v/>
      </c>
      <c r="AB5" s="30" t="str">
        <f aca="false">IF('Consol P&amp;L'!AB16="","",'Consol P&amp;L'!AB16*IFERROR(R8,1))</f>
        <v/>
      </c>
    </row>
    <row r="6" customFormat="false" ht="15" hidden="false" customHeight="true" outlineLevel="0" collapsed="false">
      <c r="A6" s="17" t="s">
        <v>135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30" t="str">
        <f aca="false">IF(OR('Consol P&amp;L'!S6="",Assumptions!S31=""),"",'Consol P&amp;L'!S6*Assumptions!S31)</f>
        <v/>
      </c>
      <c r="T6" s="30" t="str">
        <f aca="false">IF(OR('Consol P&amp;L'!T6="",Assumptions!T31=""),"",'Consol P&amp;L'!T6*Assumptions!T31)</f>
        <v/>
      </c>
      <c r="U6" s="30" t="str">
        <f aca="false">IF(OR('Consol P&amp;L'!U6="",Assumptions!U31=""),"",'Consol P&amp;L'!U6*Assumptions!U31)</f>
        <v/>
      </c>
      <c r="V6" s="30" t="str">
        <f aca="false">IF(OR('Consol P&amp;L'!V6="",Assumptions!V31=""),"",'Consol P&amp;L'!V6*Assumptions!V31)</f>
        <v/>
      </c>
      <c r="W6" s="30" t="str">
        <f aca="false">IF(OR('Consol P&amp;L'!W6="",Assumptions!W31=""),"",'Consol P&amp;L'!W6*Assumptions!W31)</f>
        <v/>
      </c>
      <c r="X6" s="30" t="str">
        <f aca="false">IF(OR('Consol P&amp;L'!X6="",Assumptions!X31=""),"",'Consol P&amp;L'!X6*Assumptions!X31)</f>
        <v/>
      </c>
      <c r="Y6" s="30" t="str">
        <f aca="false">IF(OR('Consol P&amp;L'!Y6="",Assumptions!Y31=""),"",'Consol P&amp;L'!Y6*Assumptions!Y31)</f>
        <v/>
      </c>
      <c r="Z6" s="30" t="str">
        <f aca="false">IF(OR('Consol P&amp;L'!Z6="",Assumptions!Z31=""),"",'Consol P&amp;L'!Z6*Assumptions!Z31)</f>
        <v/>
      </c>
      <c r="AA6" s="30" t="str">
        <f aca="false">IF(OR('Consol P&amp;L'!AA6="",Assumptions!AA31=""),"",'Consol P&amp;L'!AA6*Assumptions!AA31)</f>
        <v/>
      </c>
      <c r="AB6" s="30" t="str">
        <f aca="false">IF(OR('Consol P&amp;L'!AB6="",Assumptions!AB31=""),"",'Consol P&amp;L'!AB6*Assumptions!AB31)</f>
        <v/>
      </c>
    </row>
    <row r="7" customFormat="false" ht="15" hidden="false" customHeight="true" outlineLevel="0" collapsed="false">
      <c r="A7" s="17" t="s">
        <v>136</v>
      </c>
      <c r="B7" s="27" t="str">
        <f aca="false">IF(OR(B5="",B6=""),"",B5-B6)</f>
        <v/>
      </c>
      <c r="C7" s="27" t="str">
        <f aca="false">IF(OR(C5="",C6=""),"",C5-C6)</f>
        <v/>
      </c>
      <c r="D7" s="27" t="str">
        <f aca="false">IF(OR(D5="",D6=""),"",D5-D6)</f>
        <v/>
      </c>
      <c r="E7" s="27" t="str">
        <f aca="false">IF(OR(E5="",E6=""),"",E5-E6)</f>
        <v/>
      </c>
      <c r="F7" s="27" t="str">
        <f aca="false">IF(OR(F5="",F6=""),"",F5-F6)</f>
        <v/>
      </c>
      <c r="G7" s="27" t="str">
        <f aca="false">IF(OR(G5="",G6=""),"",G5-G6)</f>
        <v/>
      </c>
      <c r="H7" s="27" t="str">
        <f aca="false">IF(OR(H5="",H6=""),"",H5-H6)</f>
        <v/>
      </c>
      <c r="I7" s="27" t="str">
        <f aca="false">IF(OR(I5="",I6=""),"",I5-I6)</f>
        <v/>
      </c>
      <c r="J7" s="27" t="str">
        <f aca="false">IF(OR(J5="",J6=""),"",J5-J6)</f>
        <v/>
      </c>
      <c r="K7" s="27" t="str">
        <f aca="false">IF(OR(K5="",K6=""),"",K5-K6)</f>
        <v/>
      </c>
      <c r="L7" s="27" t="str">
        <f aca="false">IF(OR(L5="",L6=""),"",L5-L6)</f>
        <v/>
      </c>
      <c r="M7" s="27" t="str">
        <f aca="false">IF(OR(M5="",M6=""),"",M5-M6)</f>
        <v/>
      </c>
      <c r="N7" s="27" t="str">
        <f aca="false">IF(OR(N5="",N6=""),"",N5-N6)</f>
        <v/>
      </c>
      <c r="O7" s="27" t="str">
        <f aca="false">IF(OR(O5="",O6=""),"",O5-O6)</f>
        <v/>
      </c>
      <c r="P7" s="27" t="str">
        <f aca="false">IF(OR(P5="",P6=""),"",P5-P6)</f>
        <v/>
      </c>
      <c r="Q7" s="27" t="str">
        <f aca="false">IF(OR(Q5="",Q6=""),"",Q5-Q6)</f>
        <v/>
      </c>
      <c r="R7" s="27" t="str">
        <f aca="false">IF(OR(R5="",R6=""),"",R5-R6)</f>
        <v/>
      </c>
      <c r="S7" s="27" t="str">
        <f aca="false">IF(OR(S5="",S6=""),"",S5-S6)</f>
        <v/>
      </c>
      <c r="T7" s="27" t="str">
        <f aca="false">IF(OR(T5="",T6=""),"",T5-T6)</f>
        <v/>
      </c>
      <c r="U7" s="27" t="str">
        <f aca="false">IF(OR(U5="",U6=""),"",U5-U6)</f>
        <v/>
      </c>
      <c r="V7" s="27" t="str">
        <f aca="false">IF(OR(V5="",V6=""),"",V5-V6)</f>
        <v/>
      </c>
      <c r="W7" s="27" t="str">
        <f aca="false">IF(OR(W5="",W6=""),"",W5-W6)</f>
        <v/>
      </c>
      <c r="X7" s="27" t="str">
        <f aca="false">IF(OR(X5="",X6=""),"",X5-X6)</f>
        <v/>
      </c>
      <c r="Y7" s="27" t="str">
        <f aca="false">IF(OR(Y5="",Y6=""),"",Y5-Y6)</f>
        <v/>
      </c>
      <c r="Z7" s="27" t="str">
        <f aca="false">IF(OR(Z5="",Z6=""),"",Z5-Z6)</f>
        <v/>
      </c>
      <c r="AA7" s="27" t="str">
        <f aca="false">IF(OR(AA5="",AA6=""),"",AA5-AA6)</f>
        <v/>
      </c>
      <c r="AB7" s="27" t="str">
        <f aca="false">IF(OR(AB5="",AB6=""),"",AB5-AB6)</f>
        <v/>
      </c>
    </row>
    <row r="8" customFormat="false" ht="15" hidden="false" customHeight="true" outlineLevel="0" collapsed="false">
      <c r="A8" s="17" t="s">
        <v>137</v>
      </c>
      <c r="B8" s="31" t="str">
        <f aca="false">IFERROR(IF(OR(B5="",'Consol P&amp;L'!B16="",'Consol P&amp;L'!B16=0),"",B5/'Consol P&amp;L'!B16),"")</f>
        <v/>
      </c>
      <c r="C8" s="31" t="str">
        <f aca="false">IFERROR(IF(OR(C5="",'Consol P&amp;L'!C16="",'Consol P&amp;L'!C16=0),"",C5/'Consol P&amp;L'!C16),"")</f>
        <v/>
      </c>
      <c r="D8" s="31" t="str">
        <f aca="false">IFERROR(IF(OR(D5="",'Consol P&amp;L'!D16="",'Consol P&amp;L'!D16=0),"",D5/'Consol P&amp;L'!D16),"")</f>
        <v/>
      </c>
      <c r="E8" s="31" t="str">
        <f aca="false">IFERROR(IF(OR(E5="",'Consol P&amp;L'!E16="",'Consol P&amp;L'!E16=0),"",E5/'Consol P&amp;L'!E16),"")</f>
        <v/>
      </c>
      <c r="F8" s="31" t="str">
        <f aca="false">IFERROR(IF(OR(F5="",'Consol P&amp;L'!F16="",'Consol P&amp;L'!F16=0),"",F5/'Consol P&amp;L'!F16),"")</f>
        <v/>
      </c>
      <c r="G8" s="31" t="str">
        <f aca="false">IFERROR(IF(OR(G5="",'Consol P&amp;L'!G16="",'Consol P&amp;L'!G16=0),"",G5/'Consol P&amp;L'!G16),"")</f>
        <v/>
      </c>
      <c r="H8" s="31" t="str">
        <f aca="false">IFERROR(IF(OR(H5="",'Consol P&amp;L'!H16="",'Consol P&amp;L'!H16=0),"",H5/'Consol P&amp;L'!H16),"")</f>
        <v/>
      </c>
      <c r="I8" s="31" t="str">
        <f aca="false">IFERROR(IF(OR(I5="",'Consol P&amp;L'!I16="",'Consol P&amp;L'!I16=0),"",I5/'Consol P&amp;L'!I16),"")</f>
        <v/>
      </c>
      <c r="J8" s="31" t="str">
        <f aca="false">IFERROR(IF(OR(J5="",'Consol P&amp;L'!J16="",'Consol P&amp;L'!J16=0),"",J5/'Consol P&amp;L'!J16),"")</f>
        <v/>
      </c>
      <c r="K8" s="31" t="str">
        <f aca="false">IFERROR(IF(OR(K5="",'Consol P&amp;L'!K16="",'Consol P&amp;L'!K16=0),"",K5/'Consol P&amp;L'!K16),"")</f>
        <v/>
      </c>
      <c r="L8" s="31" t="str">
        <f aca="false">IFERROR(IF(OR(L5="",'Consol P&amp;L'!L16="",'Consol P&amp;L'!L16=0),"",L5/'Consol P&amp;L'!L16),"")</f>
        <v/>
      </c>
      <c r="M8" s="31" t="str">
        <f aca="false">IFERROR(IF(OR(M5="",'Consol P&amp;L'!M16="",'Consol P&amp;L'!M16=0),"",M5/'Consol P&amp;L'!M16),"")</f>
        <v/>
      </c>
      <c r="N8" s="31" t="str">
        <f aca="false">IFERROR(IF(OR(N5="",'Consol P&amp;L'!N16="",'Consol P&amp;L'!N16=0),"",N5/'Consol P&amp;L'!N16),"")</f>
        <v/>
      </c>
      <c r="O8" s="31" t="str">
        <f aca="false">IFERROR(IF(OR(O5="",'Consol P&amp;L'!O16="",'Consol P&amp;L'!O16=0),"",O5/'Consol P&amp;L'!O16),"")</f>
        <v/>
      </c>
      <c r="P8" s="31" t="str">
        <f aca="false">IFERROR(IF(OR(P5="",'Consol P&amp;L'!P16="",'Consol P&amp;L'!P16=0),"",P5/'Consol P&amp;L'!P16),"")</f>
        <v/>
      </c>
      <c r="Q8" s="31" t="str">
        <f aca="false">IFERROR(IF(OR(Q5="",'Consol P&amp;L'!Q16="",'Consol P&amp;L'!Q16=0),"",Q5/'Consol P&amp;L'!Q16),"")</f>
        <v/>
      </c>
      <c r="R8" s="31" t="str">
        <f aca="false">IFERROR(IF(OR(R5="",'Consol P&amp;L'!R16="",'Consol P&amp;L'!R16=0),"",R5/'Consol P&amp;L'!R16),"")</f>
        <v/>
      </c>
      <c r="S8" s="31" t="str">
        <f aca="false">IFERROR(IF(OR(S5="",'Consol P&amp;L'!S16="",'Consol P&amp;L'!S16=0),"",S5/'Consol P&amp;L'!S16),"")</f>
        <v/>
      </c>
      <c r="T8" s="31" t="str">
        <f aca="false">IFERROR(IF(OR(T5="",'Consol P&amp;L'!T16="",'Consol P&amp;L'!T16=0),"",T5/'Consol P&amp;L'!T16),"")</f>
        <v/>
      </c>
      <c r="U8" s="31" t="str">
        <f aca="false">IFERROR(IF(OR(U5="",'Consol P&amp;L'!U16="",'Consol P&amp;L'!U16=0),"",U5/'Consol P&amp;L'!U16),"")</f>
        <v/>
      </c>
      <c r="V8" s="31" t="str">
        <f aca="false">IFERROR(IF(OR(V5="",'Consol P&amp;L'!V16="",'Consol P&amp;L'!V16=0),"",V5/'Consol P&amp;L'!V16),"")</f>
        <v/>
      </c>
      <c r="W8" s="31" t="str">
        <f aca="false">IFERROR(IF(OR(W5="",'Consol P&amp;L'!W16="",'Consol P&amp;L'!W16=0),"",W5/'Consol P&amp;L'!W16),"")</f>
        <v/>
      </c>
      <c r="X8" s="31" t="str">
        <f aca="false">IFERROR(IF(OR(X5="",'Consol P&amp;L'!X16="",'Consol P&amp;L'!X16=0),"",X5/'Consol P&amp;L'!X16),"")</f>
        <v/>
      </c>
      <c r="Y8" s="31" t="str">
        <f aca="false">IFERROR(IF(OR(Y5="",'Consol P&amp;L'!Y16="",'Consol P&amp;L'!Y16=0),"",Y5/'Consol P&amp;L'!Y16),"")</f>
        <v/>
      </c>
      <c r="Z8" s="31" t="str">
        <f aca="false">IFERROR(IF(OR(Z5="",'Consol P&amp;L'!Z16="",'Consol P&amp;L'!Z16=0),"",Z5/'Consol P&amp;L'!Z16),"")</f>
        <v/>
      </c>
      <c r="AA8" s="31" t="str">
        <f aca="false">IFERROR(IF(OR(AA5="",'Consol P&amp;L'!AA16="",'Consol P&amp;L'!AA16=0),"",AA5/'Consol P&amp;L'!AA16),"")</f>
        <v/>
      </c>
      <c r="AB8" s="31" t="str">
        <f aca="false">IFERROR(IF(OR(AB5="",'Consol P&amp;L'!AB16="",'Consol P&amp;L'!AB16=0),"",AB5/'Consol P&amp;L'!AB16),"")</f>
        <v/>
      </c>
    </row>
    <row r="9" customFormat="false" ht="15" hidden="false" customHeight="true" outlineLevel="0" collapsed="false">
      <c r="A9" s="17" t="s">
        <v>138</v>
      </c>
      <c r="B9" s="29" t="str">
        <f aca="false">IFERROR(IF(OR(B6="",'Consol P&amp;L'!B6="",'Consol P&amp;L'!B6=0),"",B6/'Consol P&amp;L'!B6),"")</f>
        <v/>
      </c>
      <c r="C9" s="29" t="str">
        <f aca="false">IFERROR(IF(OR(C6="",'Consol P&amp;L'!C6="",'Consol P&amp;L'!C6=0),"",C6/'Consol P&amp;L'!C6),"")</f>
        <v/>
      </c>
      <c r="D9" s="29" t="str">
        <f aca="false">IFERROR(IF(OR(D6="",'Consol P&amp;L'!D6="",'Consol P&amp;L'!D6=0),"",D6/'Consol P&amp;L'!D6),"")</f>
        <v/>
      </c>
      <c r="E9" s="29" t="str">
        <f aca="false">IFERROR(IF(OR(E6="",'Consol P&amp;L'!E6="",'Consol P&amp;L'!E6=0),"",E6/'Consol P&amp;L'!E6),"")</f>
        <v/>
      </c>
      <c r="F9" s="29" t="str">
        <f aca="false">IFERROR(IF(OR(F6="",'Consol P&amp;L'!F6="",'Consol P&amp;L'!F6=0),"",F6/'Consol P&amp;L'!F6),"")</f>
        <v/>
      </c>
      <c r="G9" s="29" t="str">
        <f aca="false">IFERROR(IF(OR(G6="",'Consol P&amp;L'!G6="",'Consol P&amp;L'!G6=0),"",G6/'Consol P&amp;L'!G6),"")</f>
        <v/>
      </c>
      <c r="H9" s="29" t="str">
        <f aca="false">IFERROR(IF(OR(H6="",'Consol P&amp;L'!H6="",'Consol P&amp;L'!H6=0),"",H6/'Consol P&amp;L'!H6),"")</f>
        <v/>
      </c>
      <c r="I9" s="29" t="str">
        <f aca="false">IFERROR(IF(OR(I6="",'Consol P&amp;L'!I6="",'Consol P&amp;L'!I6=0),"",I6/'Consol P&amp;L'!I6),"")</f>
        <v/>
      </c>
      <c r="J9" s="29" t="str">
        <f aca="false">IFERROR(IF(OR(J6="",'Consol P&amp;L'!J6="",'Consol P&amp;L'!J6=0),"",J6/'Consol P&amp;L'!J6),"")</f>
        <v/>
      </c>
      <c r="K9" s="29" t="str">
        <f aca="false">IFERROR(IF(OR(K6="",'Consol P&amp;L'!K6="",'Consol P&amp;L'!K6=0),"",K6/'Consol P&amp;L'!K6),"")</f>
        <v/>
      </c>
      <c r="L9" s="29" t="str">
        <f aca="false">IFERROR(IF(OR(L6="",'Consol P&amp;L'!L6="",'Consol P&amp;L'!L6=0),"",L6/'Consol P&amp;L'!L6),"")</f>
        <v/>
      </c>
      <c r="M9" s="29" t="str">
        <f aca="false">IFERROR(IF(OR(M6="",'Consol P&amp;L'!M6="",'Consol P&amp;L'!M6=0),"",M6/'Consol P&amp;L'!M6),"")</f>
        <v/>
      </c>
      <c r="N9" s="29" t="str">
        <f aca="false">IFERROR(IF(OR(N6="",'Consol P&amp;L'!N6="",'Consol P&amp;L'!N6=0),"",N6/'Consol P&amp;L'!N6),"")</f>
        <v/>
      </c>
      <c r="O9" s="29" t="str">
        <f aca="false">IFERROR(IF(OR(O6="",'Consol P&amp;L'!O6="",'Consol P&amp;L'!O6=0),"",O6/'Consol P&amp;L'!O6),"")</f>
        <v/>
      </c>
      <c r="P9" s="29" t="str">
        <f aca="false">IFERROR(IF(OR(P6="",'Consol P&amp;L'!P6="",'Consol P&amp;L'!P6=0),"",P6/'Consol P&amp;L'!P6),"")</f>
        <v/>
      </c>
      <c r="Q9" s="29" t="str">
        <f aca="false">IFERROR(IF(OR(Q6="",'Consol P&amp;L'!Q6="",'Consol P&amp;L'!Q6=0),"",Q6/'Consol P&amp;L'!Q6),"")</f>
        <v/>
      </c>
      <c r="R9" s="29" t="str">
        <f aca="false">IFERROR(IF(OR(R6="",'Consol P&amp;L'!R6="",'Consol P&amp;L'!R6=0),"",R6/'Consol P&amp;L'!R6),"")</f>
        <v/>
      </c>
      <c r="S9" s="29" t="str">
        <f aca="false">IFERROR(IF(OR(S6="",'Consol P&amp;L'!S6="",'Consol P&amp;L'!S6=0),"",S6/'Consol P&amp;L'!S6),"")</f>
        <v/>
      </c>
      <c r="T9" s="29" t="str">
        <f aca="false">IFERROR(IF(OR(T6="",'Consol P&amp;L'!T6="",'Consol P&amp;L'!T6=0),"",T6/'Consol P&amp;L'!T6),"")</f>
        <v/>
      </c>
      <c r="U9" s="29" t="str">
        <f aca="false">IFERROR(IF(OR(U6="",'Consol P&amp;L'!U6="",'Consol P&amp;L'!U6=0),"",U6/'Consol P&amp;L'!U6),"")</f>
        <v/>
      </c>
      <c r="V9" s="29" t="str">
        <f aca="false">IFERROR(IF(OR(V6="",'Consol P&amp;L'!V6="",'Consol P&amp;L'!V6=0),"",V6/'Consol P&amp;L'!V6),"")</f>
        <v/>
      </c>
      <c r="W9" s="29" t="str">
        <f aca="false">IFERROR(IF(OR(W6="",'Consol P&amp;L'!W6="",'Consol P&amp;L'!W6=0),"",W6/'Consol P&amp;L'!W6),"")</f>
        <v/>
      </c>
      <c r="X9" s="29" t="str">
        <f aca="false">IFERROR(IF(OR(X6="",'Consol P&amp;L'!X6="",'Consol P&amp;L'!X6=0),"",X6/'Consol P&amp;L'!X6),"")</f>
        <v/>
      </c>
      <c r="Y9" s="29" t="str">
        <f aca="false">IFERROR(IF(OR(Y6="",'Consol P&amp;L'!Y6="",'Consol P&amp;L'!Y6=0),"",Y6/'Consol P&amp;L'!Y6),"")</f>
        <v/>
      </c>
      <c r="Z9" s="29" t="str">
        <f aca="false">IFERROR(IF(OR(Z6="",'Consol P&amp;L'!Z6="",'Consol P&amp;L'!Z6=0),"",Z6/'Consol P&amp;L'!Z6),"")</f>
        <v/>
      </c>
      <c r="AA9" s="29" t="str">
        <f aca="false">IFERROR(IF(OR(AA6="",'Consol P&amp;L'!AA6="",'Consol P&amp;L'!AA6=0),"",AA6/'Consol P&amp;L'!AA6),"")</f>
        <v/>
      </c>
      <c r="AB9" s="29" t="str">
        <f aca="false">IFERROR(IF(OR(AB6="",'Consol P&amp;L'!AB6="",'Consol P&amp;L'!AB6=0),"",AB6/'Consol P&amp;L'!AB6),"")</f>
        <v/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0.93"/>
    <col collapsed="false" customWidth="true" hidden="false" outlineLevel="0" max="2" min="2" style="1" width="16.38"/>
    <col collapsed="false" customWidth="true" hidden="false" outlineLevel="0" max="3" min="3" style="1" width="25.47"/>
    <col collapsed="false" customWidth="true" hidden="false" outlineLevel="0" max="6" min="4" style="1" width="16.38"/>
    <col collapsed="false" customWidth="true" hidden="false" outlineLevel="0" max="7" min="7" style="1" width="52.77"/>
    <col collapsed="false" customWidth="true" hidden="false" outlineLevel="0" max="8" min="8" style="1" width="16.38"/>
  </cols>
  <sheetData>
    <row r="1" customFormat="false" ht="18" hidden="false" customHeight="true" outlineLevel="0" collapsed="false">
      <c r="A1" s="12" t="s">
        <v>139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3" t="s">
        <v>141</v>
      </c>
      <c r="B4" s="33" t="s">
        <v>142</v>
      </c>
      <c r="C4" s="33" t="s">
        <v>143</v>
      </c>
      <c r="D4" s="33" t="s">
        <v>144</v>
      </c>
      <c r="E4" s="33" t="s">
        <v>145</v>
      </c>
      <c r="F4" s="33" t="s">
        <v>146</v>
      </c>
      <c r="G4" s="33" t="s">
        <v>147</v>
      </c>
      <c r="H4" s="33" t="s">
        <v>148</v>
      </c>
    </row>
    <row r="5" customFormat="false" ht="15" hidden="false" customHeight="true" outlineLevel="0" collapsed="false">
      <c r="A5" s="17" t="s">
        <v>149</v>
      </c>
      <c r="B5" s="25" t="s">
        <v>150</v>
      </c>
      <c r="C5" s="25" t="s">
        <v>151</v>
      </c>
      <c r="D5" s="18"/>
      <c r="E5" s="18"/>
      <c r="F5" s="18"/>
      <c r="G5" s="25" t="s">
        <v>152</v>
      </c>
      <c r="H5" s="25" t="s">
        <v>153</v>
      </c>
    </row>
    <row r="6" customFormat="false" ht="15" hidden="false" customHeight="true" outlineLevel="0" collapsed="false">
      <c r="A6" s="17" t="s">
        <v>154</v>
      </c>
      <c r="B6" s="25" t="n">
        <v>0</v>
      </c>
      <c r="C6" s="25" t="s">
        <v>155</v>
      </c>
      <c r="D6" s="18"/>
      <c r="E6" s="18"/>
      <c r="F6" s="18"/>
      <c r="G6" s="25" t="s">
        <v>156</v>
      </c>
      <c r="H6" s="25" t="s">
        <v>153</v>
      </c>
    </row>
    <row r="7" customFormat="false" ht="15" hidden="false" customHeight="true" outlineLevel="0" collapsed="false">
      <c r="A7" s="17" t="s">
        <v>157</v>
      </c>
      <c r="B7" s="25" t="s">
        <v>158</v>
      </c>
      <c r="C7" s="25" t="s">
        <v>159</v>
      </c>
      <c r="D7" s="18"/>
      <c r="E7" s="18"/>
      <c r="F7" s="18"/>
      <c r="G7" s="25" t="s">
        <v>160</v>
      </c>
      <c r="H7" s="25" t="s">
        <v>153</v>
      </c>
    </row>
    <row r="8" customFormat="false" ht="15" hidden="false" customHeight="true" outlineLevel="0" collapsed="false">
      <c r="A8" s="17" t="s">
        <v>161</v>
      </c>
      <c r="B8" s="18"/>
      <c r="C8" s="25" t="s">
        <v>162</v>
      </c>
      <c r="D8" s="18"/>
      <c r="E8" s="18"/>
      <c r="F8" s="18"/>
      <c r="G8" s="25" t="s">
        <v>163</v>
      </c>
      <c r="H8" s="25" t="s">
        <v>153</v>
      </c>
    </row>
    <row r="9" customFormat="false" ht="15" hidden="false" customHeight="true" outlineLevel="0" collapsed="false">
      <c r="A9" s="17" t="s">
        <v>164</v>
      </c>
      <c r="B9" s="25" t="s">
        <v>165</v>
      </c>
      <c r="C9" s="25" t="s">
        <v>166</v>
      </c>
      <c r="D9" s="18"/>
      <c r="E9" s="18"/>
      <c r="F9" s="18"/>
      <c r="G9" s="25" t="s">
        <v>167</v>
      </c>
      <c r="H9" s="25" t="s">
        <v>153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10.01"/>
    <col collapsed="false" customWidth="true" hidden="false" outlineLevel="0" max="3" min="3" style="1" width="36.39"/>
    <col collapsed="false" customWidth="true" hidden="false" outlineLevel="0" max="4" min="4" style="1" width="18.2"/>
    <col collapsed="false" customWidth="true" hidden="false" outlineLevel="0" max="5" min="5" style="1" width="12.74"/>
    <col collapsed="false" customWidth="true" hidden="false" outlineLevel="0" max="6" min="6" style="1" width="41.85"/>
    <col collapsed="false" customWidth="true" hidden="false" outlineLevel="0" max="7" min="7" style="1" width="20.01"/>
    <col collapsed="false" customWidth="true" hidden="false" outlineLevel="0" max="8" min="8" style="1" width="21.84"/>
    <col collapsed="false" customWidth="true" hidden="false" outlineLevel="0" max="9" min="9" style="1" width="63.69"/>
    <col collapsed="false" customWidth="true" hidden="false" outlineLevel="0" max="10" min="10" style="1" width="13.65"/>
    <col collapsed="false" customWidth="true" hidden="false" outlineLevel="0" max="11" min="11" style="1" width="63.69"/>
    <col collapsed="false" customWidth="true" hidden="false" outlineLevel="0" max="12" min="12" style="1" width="20.01"/>
  </cols>
  <sheetData>
    <row r="1" customFormat="false" ht="18" hidden="false" customHeight="true" outlineLevel="0" collapsed="false">
      <c r="A1" s="12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4" t="s">
        <v>170</v>
      </c>
      <c r="B4" s="34" t="s">
        <v>171</v>
      </c>
      <c r="C4" s="34" t="s">
        <v>141</v>
      </c>
      <c r="D4" s="34" t="s">
        <v>172</v>
      </c>
      <c r="E4" s="34" t="s">
        <v>173</v>
      </c>
      <c r="F4" s="34" t="s">
        <v>174</v>
      </c>
      <c r="G4" s="34" t="s">
        <v>175</v>
      </c>
      <c r="H4" s="34" t="s">
        <v>176</v>
      </c>
      <c r="I4" s="34" t="s">
        <v>177</v>
      </c>
      <c r="J4" s="34" t="s">
        <v>178</v>
      </c>
      <c r="K4" s="34" t="s">
        <v>179</v>
      </c>
      <c r="L4" s="34" t="s">
        <v>180</v>
      </c>
    </row>
    <row r="5" customFormat="false" ht="39" hidden="false" customHeight="true" outlineLevel="0" collapsed="false">
      <c r="A5" s="35" t="s">
        <v>181</v>
      </c>
      <c r="B5" s="35" t="s">
        <v>182</v>
      </c>
      <c r="C5" s="35" t="s">
        <v>183</v>
      </c>
      <c r="D5" s="35" t="s">
        <v>184</v>
      </c>
      <c r="E5" s="35" t="s">
        <v>185</v>
      </c>
      <c r="F5" s="35" t="s">
        <v>186</v>
      </c>
      <c r="G5" s="35" t="s">
        <v>18</v>
      </c>
      <c r="H5" s="35" t="s">
        <v>187</v>
      </c>
      <c r="I5" s="35" t="s">
        <v>188</v>
      </c>
      <c r="J5" s="35" t="s">
        <v>189</v>
      </c>
      <c r="K5" s="35" t="s">
        <v>190</v>
      </c>
      <c r="L5" s="35" t="s">
        <v>191</v>
      </c>
    </row>
  </sheetData>
  <autoFilter ref="A4:L5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7.31"/>
    <col collapsed="false" customWidth="true" hidden="false" outlineLevel="0" max="4" min="2" style="1" width="20.01"/>
    <col collapsed="false" customWidth="true" hidden="false" outlineLevel="0" max="5" min="5" style="1" width="67.33"/>
    <col collapsed="false" customWidth="true" hidden="false" outlineLevel="0" max="6" min="6" style="1" width="25.47"/>
  </cols>
  <sheetData>
    <row r="1" customFormat="false" ht="18" hidden="false" customHeight="true" outlineLevel="0" collapsed="false">
      <c r="A1" s="12" t="s">
        <v>192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customFormat="false" ht="1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4" customFormat="false" ht="15" hidden="false" customHeight="true" outlineLevel="0" collapsed="false">
      <c r="A4" s="33" t="s">
        <v>194</v>
      </c>
      <c r="B4" s="33" t="s">
        <v>195</v>
      </c>
      <c r="C4" s="33" t="s">
        <v>196</v>
      </c>
      <c r="D4" s="33" t="s">
        <v>148</v>
      </c>
      <c r="E4" s="33" t="s">
        <v>197</v>
      </c>
      <c r="F4" s="33" t="s">
        <v>198</v>
      </c>
    </row>
    <row r="5" customFormat="false" ht="15" hidden="false" customHeight="true" outlineLevel="0" collapsed="false">
      <c r="A5" s="17" t="s">
        <v>199</v>
      </c>
      <c r="B5" s="26" t="n">
        <f aca="false">IF(AND(Assumptions!B4="2018A",Assumptions!I4="2025A",Assumptions!J4="2024Q1A",Assumptions!R4="2026Q1A",Assumptions!S4="2026E",Assumptions!U4="2028E",Assumptions!V4="2026Q2E",Assumptions!AB4="2027Q4E"),0,1)</f>
        <v>0</v>
      </c>
      <c r="C5" s="25" t="n">
        <v>0</v>
      </c>
      <c r="D5" s="36" t="str">
        <f aca="false">IF(B5=C5,"OK","ERROR")</f>
        <v>OK</v>
      </c>
      <c r="E5" s="25" t="s">
        <v>200</v>
      </c>
      <c r="F5" s="18"/>
    </row>
    <row r="6" customFormat="false" ht="15" hidden="false" customHeight="true" outlineLevel="0" collapsed="false">
      <c r="A6" s="17" t="s">
        <v>201</v>
      </c>
      <c r="B6" s="25"/>
      <c r="C6" s="25" t="n">
        <v>0</v>
      </c>
      <c r="D6" s="25" t="s">
        <v>153</v>
      </c>
      <c r="E6" s="25" t="s">
        <v>202</v>
      </c>
      <c r="F6" s="18"/>
    </row>
    <row r="7" customFormat="false" ht="15" hidden="false" customHeight="true" outlineLevel="0" collapsed="false">
      <c r="A7" s="17" t="s">
        <v>203</v>
      </c>
      <c r="B7" s="25"/>
      <c r="C7" s="25" t="n">
        <v>0</v>
      </c>
      <c r="D7" s="25" t="s">
        <v>153</v>
      </c>
      <c r="E7" s="25" t="s">
        <v>202</v>
      </c>
      <c r="F7" s="18"/>
    </row>
    <row r="8" customFormat="false" ht="15" hidden="false" customHeight="true" outlineLevel="0" collapsed="false">
      <c r="A8" s="17" t="s">
        <v>204</v>
      </c>
      <c r="B8" s="25"/>
      <c r="C8" s="25" t="n">
        <v>0</v>
      </c>
      <c r="D8" s="25" t="s">
        <v>153</v>
      </c>
      <c r="E8" s="25" t="s">
        <v>202</v>
      </c>
      <c r="F8" s="18"/>
    </row>
    <row r="9" customFormat="false" ht="15" hidden="false" customHeight="true" outlineLevel="0" collapsed="false">
      <c r="A9" s="17" t="s">
        <v>205</v>
      </c>
      <c r="B9" s="25"/>
      <c r="C9" s="25" t="n">
        <v>0</v>
      </c>
      <c r="D9" s="25" t="s">
        <v>153</v>
      </c>
      <c r="E9" s="25" t="s">
        <v>202</v>
      </c>
      <c r="F9" s="18"/>
    </row>
    <row r="10" customFormat="false" ht="26.25" hidden="false" customHeight="true" outlineLevel="0" collapsed="false">
      <c r="A10" s="17" t="s">
        <v>206</v>
      </c>
      <c r="B10" s="26" t="n">
        <f aca="false">IF(COUNT(Assumptions!S6:S31,Assumptions!T6:T31,Assumptions!U6:U31,Assumptions!V6:V31,Assumptions!W6:W31,Assumptions!X6:X31,Assumptions!Y6:Y31,Assumptions!Z6:Z31,Assumptions!AA6:AA31,Assumptions!AB6:AB31)=0,IF(AND('Consol P&amp;L'!S6="",'Consol P&amp;L'!T6="",'Consol P&amp;L'!U6="",'Consol P&amp;L'!V6="",'Consol P&amp;L'!W6="",'Consol P&amp;L'!X6="",'Consol P&amp;L'!Y6="",'Consol P&amp;L'!Z6="",'Consol P&amp;L'!AA6="",'Consol P&amp;L'!AB6=""),0,1),0)</f>
        <v>0</v>
      </c>
      <c r="C10" s="25" t="n">
        <v>0</v>
      </c>
      <c r="D10" s="36" t="str">
        <f aca="false">IF(B10=0,"OK","ERROR")</f>
        <v>OK</v>
      </c>
      <c r="E10" s="25" t="s">
        <v>207</v>
      </c>
      <c r="F10" s="18"/>
    </row>
    <row r="11" customFormat="false" ht="15" hidden="false" customHeight="true" outlineLevel="0" collapsed="false">
      <c r="A11" s="17" t="s">
        <v>208</v>
      </c>
      <c r="B11" s="25" t="n">
        <v>0</v>
      </c>
      <c r="C11" s="25" t="n">
        <v>0</v>
      </c>
      <c r="D11" s="36" t="str">
        <f aca="false">IF(B11=0,"OK","ERROR")</f>
        <v>OK</v>
      </c>
      <c r="E11" s="25" t="s">
        <v>209</v>
      </c>
      <c r="F11" s="18" t="s">
        <v>210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2026-07-27T11:48:07Z</dcterms:created>
  <dc:creator>openpyxl</dc:creator>
  <dc:description/>
  <dc:language>zh-CN</dc:language>
  <cp:lastModifiedBy/>
  <dcterms:modified xsi:type="dcterms:W3CDTF">2026-07-27T11:48:32Z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