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4.xml" ContentType="application/vnd.openxmlformats-officedocument.spreadsheetml.comments+xml"/>
  <Override PartName="/xl/comments9.xml" ContentType="application/vnd.openxmlformats-officedocument.spreadsheetml.comments+xml"/>
  <Override PartName="/xl/styles.xml" ContentType="application/vnd.openxmlformats-officedocument.spreadsheetml.styles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5.vml" ContentType="application/vnd.openxmlformats-officedocument.vmlDrawing"/>
  <Override PartName="/xl/drawings/vmlDrawing1.vml" ContentType="application/vnd.openxmlformats-officedocument.vmlDrawing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comments7.xml" ContentType="application/vnd.openxmlformats-officedocument.spreadsheetml.comments+xml"/>
  <Override PartName="/xl/comments5.xml" ContentType="application/vnd.openxmlformats-officedocument.spreadsheetml.comments+xml"/>
  <Override PartName="/xl/theme/theme1.xml" ContentType="application/vnd.openxmlformats-officedocument.theme+xml"/>
  <Override PartName="/xl/comments8.xml" ContentType="application/vnd.openxmlformats-officedocument.spreadsheetml.comments+xml"/>
  <Override PartName="/xl/comments3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Assumptions" sheetId="2" state="visible" r:id="rId4"/>
    <sheet name="Price Inputs" sheetId="3" state="visible" r:id="rId5"/>
    <sheet name="Volume-Price" sheetId="4" state="visible" r:id="rId6"/>
    <sheet name="Cost Bridge" sheetId="5" state="visible" r:id="rId7"/>
    <sheet name="Segment P&amp;L" sheetId="6" state="visible" r:id="rId8"/>
    <sheet name="Consol P&amp;L" sheetId="7" state="visible" r:id="rId9"/>
    <sheet name="Cash Flow" sheetId="8" state="visible" r:id="rId10"/>
    <sheet name="Spread Beta" sheetId="9" state="visible" r:id="rId11"/>
    <sheet name="Sources" sheetId="10" state="visible" r:id="rId12"/>
    <sheet name="Checks" sheetId="11" state="visible" r:id="rId13"/>
  </sheets>
  <definedNames>
    <definedName function="false" hidden="true" localSheetId="9" name="_xlnm._FilterDatabase" vbProcedure="false">Sources!$A$4:$L$346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Dalton</author>
  </authors>
  <commentList>
    <comment ref="C6" authorId="0">
      <text>
        <r>
          <rPr>
            <sz val="10"/>
            <rFont val="Arial"/>
            <family val="2"/>
          </rPr>
          <t xml:space="preserve">Source: 2019</t>
        </r>
        <r>
          <rPr>
            <sz val="10"/>
            <rFont val="Arial Unicode MS"/>
            <family val="2"/>
          </rPr>
          <t xml:space="preserve">年主要经营数据公告</t>
        </r>
        <r>
          <rPr>
            <sz val="10"/>
            <rFont val="Arial"/>
            <family val="2"/>
          </rPr>
          <t xml:space="preserve">; date 2020-03-30; Operating-data announcement. Company-disclosed market average; not realized price.
https://static.cninfo.com.cn/finalpage/2020-03-31/1207432751.PDF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3</xdr:row>
                <xdr:rowOff>17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Arial Unicode MS"/>
            <family val="2"/>
          </rPr>
          <t xml:space="preserve">年主要经营数据公告</t>
        </r>
        <r>
          <rPr>
            <sz val="10"/>
            <rFont val="Arial"/>
            <family val="2"/>
          </rPr>
          <t xml:space="preserve">; date 2021-03-15; Operating-data announcement. Company-disclosed market average; not realized price.
https://static.cninfo.com.cn/finalpage/2021-03-16/1209385163.PDF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3</xdr:row>
                <xdr:rowOff>17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Arial Unicode MS"/>
            <family val="2"/>
          </rPr>
          <t xml:space="preserve">年主要经营数据公告</t>
        </r>
        <r>
          <rPr>
            <sz val="10"/>
            <rFont val="Arial"/>
            <family val="2"/>
          </rPr>
          <t xml:space="preserve">; date 2022-03-14; Operating-data announcement. Company-disclosed market average; not realized price.
https://static.cninfo.com.cn/finalpage/2022-03-15/1212567898.PDF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3</xdr:row>
                <xdr:rowOff>17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Arial Unicode MS"/>
            <family val="2"/>
          </rPr>
          <t xml:space="preserve">年主要经营数据公告</t>
        </r>
        <r>
          <rPr>
            <sz val="10"/>
            <rFont val="Arial"/>
            <family val="2"/>
          </rPr>
          <t xml:space="preserve">; date 2023-03-20; Operating-data announcement. Company-disclosed market average; not realized price.
https://static.cninfo.com.cn/finalpage/2023-03-21/1216168751.PDF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3</xdr:row>
                <xdr:rowOff>17</xdr:rowOff>
              </xdr:to>
            </anchor>
          </commentPr>
        </mc:Choice>
        <mc:Fallback/>
      </mc:AlternateContent>
    </comment>
    <comment ref="G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Arial Unicode MS"/>
            <family val="2"/>
          </rPr>
          <t xml:space="preserve">年主要经营数据公告</t>
        </r>
        <r>
          <rPr>
            <sz val="10"/>
            <rFont val="Arial"/>
            <family val="2"/>
          </rPr>
          <t xml:space="preserve">; date 2024-03-18; Operating-data announcement. Company-disclosed market average; not realized price.
https://static.cninfo.com.cn/finalpage/2024-03-19/1219331074.PDF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3</xdr:row>
                <xdr:rowOff>17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Arial Unicode MS"/>
            <family val="2"/>
          </rPr>
          <t xml:space="preserve">年主要经营数据公告</t>
        </r>
        <r>
          <rPr>
            <sz val="10"/>
            <rFont val="Arial"/>
            <family val="2"/>
          </rPr>
          <t xml:space="preserve">; date 2024-03-18; Operating-data announcement. Company-disclosed market average; not realized price.
https://static.cninfo.com.cn/finalpage/2024-03-19/1219331074.PDF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3</xdr:row>
                <xdr:rowOff>17</xdr:rowOff>
              </xdr:to>
            </anchor>
          </commentPr>
        </mc:Choice>
        <mc:Fallback/>
      </mc:AlternateContent>
    </comment>
    <comment ref="H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年度主要经营数据公告</t>
        </r>
        <r>
          <rPr>
            <sz val="10"/>
            <rFont val="Arial"/>
            <family val="2"/>
          </rPr>
          <t xml:space="preserve">; date 2025-04-14; Operating-data announcement. Company-disclosed market average; not realized price.
https://static.cninfo.com.cn/finalpage/2025-04-15/1223097321.PDF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3</xdr:row>
                <xdr:rowOff>17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年度主要经营数据公告</t>
        </r>
        <r>
          <rPr>
            <sz val="10"/>
            <rFont val="Arial"/>
            <family val="2"/>
          </rPr>
          <t xml:space="preserve">; date 2025-04-14; Operating-data announcement. Company-disclosed market average; not realized price.
https://static.cninfo.com.cn/finalpage/2025-04-15/1223097321.PDF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3</xdr:row>
                <xdr:rowOff>17</xdr:rowOff>
              </xdr:to>
            </anchor>
          </commentPr>
        </mc:Choice>
        <mc:Fallback/>
      </mc:AlternateContent>
    </comment>
    <comment ref="I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年度主要经营数据公告</t>
        </r>
        <r>
          <rPr>
            <sz val="10"/>
            <rFont val="Arial"/>
            <family val="2"/>
          </rPr>
          <t xml:space="preserve">; date 2026-04-20; Operating-data announcement. Company-disclosed market average; not realized price.
https://static.cninfo.com.cn/finalpage/2026-04-21/1225130690.PDF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3</xdr:row>
                <xdr:rowOff>17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年度主要经营数据公告</t>
        </r>
        <r>
          <rPr>
            <sz val="10"/>
            <rFont val="Arial"/>
            <family val="2"/>
          </rPr>
          <t xml:space="preserve">; date 2026-04-20; Operating-data announcement. Company-disclosed market average; not realized price.
https://static.cninfo.com.cn/finalpage/2026-04-21/1225130690.PDF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3</xdr:row>
                <xdr:rowOff>17</xdr:rowOff>
              </xdr:to>
            </anchor>
          </commentPr>
        </mc:Choice>
        <mc:Fallback/>
      </mc:AlternateContent>
    </comment>
    <comment ref="J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2024-04-18; Operating-data announcement. Company-disclosed market average; not realized price.
https://static.cninfo.com.cn/finalpage/2024-04-19/1219664107.PDF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3</xdr:row>
                <xdr:rowOff>17</xdr:rowOff>
              </xdr:to>
            </anchor>
          </commentPr>
        </mc:Choice>
        <mc:Fallback/>
      </mc:AlternateContent>
    </comment>
    <comment ref="J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2024-04-18; Operating-data announcement. Company-disclosed market average; not realized price.
https://static.cninfo.com.cn/finalpage/2024-04-19/1219664107.PDF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3</xdr:row>
                <xdr:rowOff>17</xdr:rowOff>
              </xdr:to>
            </anchor>
          </commentPr>
        </mc:Choice>
        <mc:Fallback/>
      </mc:AlternateContent>
    </comment>
    <comment ref="L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年三季度主要经营数据公告</t>
        </r>
        <r>
          <rPr>
            <sz val="10"/>
            <rFont val="Arial"/>
            <family val="2"/>
          </rPr>
          <t xml:space="preserve">; date 2024-10-28; Operating-data announcement. Company-disclosed market average; not realized price.
https://static.cninfo.com.cn/finalpage/2024-10-29/1221541141.PDF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3</xdr:row>
                <xdr:rowOff>17</xdr:rowOff>
              </xdr:to>
            </anchor>
          </commentPr>
        </mc:Choice>
        <mc:Fallback/>
      </mc:AlternateContent>
    </comment>
    <comment ref="L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年三季度主要经营数据公告</t>
        </r>
        <r>
          <rPr>
            <sz val="10"/>
            <rFont val="Arial"/>
            <family val="2"/>
          </rPr>
          <t xml:space="preserve">; date 2024-10-28; Operating-data announcement. Company-disclosed market average; not realized price.
https://static.cninfo.com.cn/finalpage/2024-10-29/1221541141.PDF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3</xdr:row>
                <xdr:rowOff>17</xdr:rowOff>
              </xdr:to>
            </anchor>
          </commentPr>
        </mc:Choice>
        <mc:Fallback/>
      </mc:AlternateContent>
    </comment>
    <comment ref="N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2025-04-14; Operating-data announcement. Company-disclosed market average; not realized price.
https://static.cninfo.com.cn/finalpage/2025-04-15/1223097333.PDF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3</xdr:row>
                <xdr:rowOff>17</xdr:rowOff>
              </xdr:to>
            </anchor>
          </commentPr>
        </mc:Choice>
        <mc:Fallback/>
      </mc:AlternateContent>
    </comment>
    <comment ref="N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2025-04-14; Operating-data announcement. Company-disclosed market average; not realized price.
https://static.cninfo.com.cn/finalpage/2025-04-15/1223097333.PDF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3</xdr:row>
                <xdr:rowOff>17</xdr:rowOff>
              </xdr:to>
            </anchor>
          </commentPr>
        </mc:Choice>
        <mc:Fallback/>
      </mc:AlternateContent>
    </comment>
    <comment ref="P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年三季度主要经营数据公告</t>
        </r>
        <r>
          <rPr>
            <sz val="10"/>
            <rFont val="Arial"/>
            <family val="2"/>
          </rPr>
          <t xml:space="preserve">; date 2025-10-24; Operating-data announcement. Company-disclosed market average; not realized price.
https://static.cninfo.com.cn/finalpage/2025-10-25/1224733036.PDF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3</xdr:row>
                <xdr:rowOff>17</xdr:rowOff>
              </xdr:to>
            </anchor>
          </commentPr>
        </mc:Choice>
        <mc:Fallback/>
      </mc:AlternateContent>
    </comment>
    <comment ref="P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年三季度主要经营数据公告</t>
        </r>
        <r>
          <rPr>
            <sz val="10"/>
            <rFont val="Arial"/>
            <family val="2"/>
          </rPr>
          <t xml:space="preserve">; date 2025-10-24; Operating-data announcement. Company-disclosed market average; not realized price.
https://static.cninfo.com.cn/finalpage/2025-10-25/1224733036.PDF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3</xdr:row>
                <xdr:rowOff>17</xdr:rowOff>
              </xdr:to>
            </anchor>
          </commentPr>
        </mc:Choice>
        <mc:Fallback/>
      </mc:AlternateContent>
    </comment>
    <comment ref="R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Arial Unicode MS"/>
            <family val="2"/>
          </rPr>
          <t xml:space="preserve">年一季度主要经营数据公告</t>
        </r>
        <r>
          <rPr>
            <sz val="10"/>
            <rFont val="Arial"/>
            <family val="2"/>
          </rPr>
          <t xml:space="preserve">; date 2026-04-20; Operating-data announcement. Company-disclosed market average; not realized price.
https://static.cninfo.com.cn/finalpage/2026-04-21/1225130804.PDF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3</xdr:row>
                <xdr:rowOff>17</xdr:rowOff>
              </xdr:to>
            </anchor>
          </commentPr>
        </mc:Choice>
        <mc:Fallback/>
      </mc:AlternateContent>
    </comment>
    <comment ref="R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Arial Unicode MS"/>
            <family val="2"/>
          </rPr>
          <t xml:space="preserve">年一季度主要经营数据公告</t>
        </r>
        <r>
          <rPr>
            <sz val="10"/>
            <rFont val="Arial"/>
            <family val="2"/>
          </rPr>
          <t xml:space="preserve">; date 2026-04-20; Operating-data announcement. Company-disclosed market average; not realized price.
https://static.cninfo.com.cn/finalpage/2026-04-21/1225130804.PDF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3</xdr:row>
                <xdr:rowOff>17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Dalton</author>
  </authors>
  <commentList>
    <comment ref="B6" authorId="0">
      <text>
        <r>
          <rPr>
            <sz val="10"/>
            <rFont val="Arial"/>
            <family val="2"/>
          </rPr>
          <t xml:space="preserve">Source: 2018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2019-04-22; Product-series volume table. Annual report product-series table; includes internal use and trade where applicable.
https://static.cninfo.com.cn/finalpage/2019-04-23/1206073832.PDF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Source: 2018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2019-04-22; Product-series revenue disclosure. Annual report product-series table; includes internal use and trade where applicable.
https://static.cninfo.com.cn/finalpage/2019-04-23/1206073832.PDF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Source: 2018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2019-04-22; Product-series volume table. Annual report product-series table; includes internal use and trade where applicable.
https://static.cninfo.com.cn/finalpage/2019-04-23/1206073832.PDF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Source: 2018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2019-04-22; Product-series revenue disclosure. Annual report product-series table; includes internal use and trade where applicable.
https://static.cninfo.com.cn/finalpage/2019-04-23/1206073832.PDF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Source: 2018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2019-04-22; Product-series volume table. Annual report product-series table; includes internal use and trade where applicable.
https://static.cninfo.com.cn/finalpage/2019-04-23/1206073832.PDF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Source: 2018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2019-04-22; Product-series revenue disclosure. Annual report product-series table; includes internal use and trade where applicable.
https://static.cninfo.com.cn/finalpage/2019-04-23/1206073832.PDF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Source: 2019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2020-03-30; Product-series volume table. Annual report product-series table; includes internal use and trade where applicable.
https://static.cninfo.com.cn/finalpage/2020-03-31/1207432775.PDF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Source: 2019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2020-03-30; Product-series revenue disclosure. Annual report product-series table; includes internal use and trade where applicable.
https://static.cninfo.com.cn/finalpage/2020-03-31/1207432775.PDF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Source: 2019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2020-03-30; Product-series volume table. Annual report product-series table; includes internal use and trade where applicable.
https://static.cninfo.com.cn/finalpage/2020-03-31/1207432775.PDF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Source: 2019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2020-03-30; Product-series revenue disclosure. Annual report product-series table; includes internal use and trade where applicable.
https://static.cninfo.com.cn/finalpage/2020-03-31/1207432775.PDF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Source: 2019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2020-03-30; Product-series volume table. Annual report product-series table; includes internal use and trade where applicable.
https://static.cninfo.com.cn/finalpage/2020-03-31/1207432775.PDF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Source: 2019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2020-03-30; Product-series revenue disclosure. Annual report product-series table; includes internal use and trade where applicable.
https://static.cninfo.com.cn/finalpage/2020-03-31/1207432775.PDF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2021-03-15; Product-series volume table. Annual report product-series table; includes internal use and trade where applicable.
https://static.cninfo.com.cn/finalpage/2021-03-16/1209385146.PDF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2021-03-15; Product-series revenue disclosure. Annual report product-series table; includes internal use and trade where applicable.
https://static.cninfo.com.cn/finalpage/2021-03-16/1209385146.PDF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2021-03-15; Product-series volume table. Annual report product-series table; includes internal use and trade where applicable.
https://static.cninfo.com.cn/finalpage/2021-03-16/1209385146.PDF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2021-03-15; Product-series revenue disclosure. Annual report product-series table; includes internal use and trade where applicable.
https://static.cninfo.com.cn/finalpage/2021-03-16/1209385146.PDF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2021-03-15; Product-series volume table. Annual report product-series table; includes internal use and trade where applicable.
https://static.cninfo.com.cn/finalpage/2021-03-16/1209385146.PDF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2021-03-15; Product-series revenue disclosure. Annual report product-series table; includes internal use and trade where applicable.
https://static.cninfo.com.cn/finalpage/2021-03-16/1209385146.PDF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2022-03-14; Product-series volume table. Annual report product-series table; includes internal use and trade where applicable.
https://static.cninfo.com.cn/finalpage/2022-03-15/1212567907.PDF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2022-03-14; Product-series revenue disclosure. Annual report product-series table; includes internal use and trade where applicable.
https://static.cninfo.com.cn/finalpage/2022-03-15/1212567907.PDF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2022-03-14; Product-series volume table. Annual report product-series table; includes internal use and trade where applicable.
https://static.cninfo.com.cn/finalpage/2022-03-15/1212567907.PDF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2022-03-14; Product-series revenue disclosure. Annual report product-series table; includes internal use and trade where applicable.
https://static.cninfo.com.cn/finalpage/2022-03-15/1212567907.PDF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2022-03-14; Product-series volume table. Annual report product-series table; includes internal use and trade where applicable.
https://static.cninfo.com.cn/finalpage/2022-03-15/1212567907.PDF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2022-03-14; Product-series revenue disclosure. Annual report product-series table; includes internal use and trade where applicable.
https://static.cninfo.com.cn/finalpage/2022-03-15/1212567907.PDF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2023-03-20; Product-series volume table. Annual report product-series table; includes internal use and trade where applicable.
https://static.cninfo.com.cn/finalpage/2023-03-21/1216168736.PDF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2023-03-20; Product-series revenue disclosure. Annual report product-series table; includes internal use and trade where applicable.
https://static.cninfo.com.cn/finalpage/2023-03-21/1216168736.PDF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2023-03-20; Product-series volume table. Annual report product-series table; includes internal use and trade where applicable.
https://static.cninfo.com.cn/finalpage/2023-03-21/1216168736.PDF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2023-03-20; Product-series revenue disclosure. Annual report product-series table; includes internal use and trade where applicable.
https://static.cninfo.com.cn/finalpage/2023-03-21/1216168736.PDF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2023-03-20; Product-series volume table. Annual report product-series table; includes internal use and trade where applicable.
https://static.cninfo.com.cn/finalpage/2023-03-21/1216168736.PDF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2023-03-20; Product-series revenue disclosure. Annual report product-series table; includes internal use and trade where applicable.
https://static.cninfo.com.cn/finalpage/2023-03-21/1216168736.PDF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2024-03-18; Product-series volume table. Annual report product-series table; includes internal use and trade where applicable.
https://static.cninfo.com.cn/finalpage/2024-03-19/1219331064.PDF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2024-03-18; Product-series revenue disclosure. Annual report product-series table; includes internal use and trade where applicable.
https://static.cninfo.com.cn/finalpage/2024-03-19/1219331064.PDF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2024-03-18; Product-series volume table. Annual report product-series table; includes internal use and trade where applicable.
https://static.cninfo.com.cn/finalpage/2024-03-19/1219331064.PDF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2024-03-18; Product-series revenue disclosure. Annual report product-series table; includes internal use and trade where applicable.
https://static.cninfo.com.cn/finalpage/2024-03-19/1219331064.PDF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G2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2024-03-18; Product-series volume table. Annual report product-series table; includes internal use and trade where applicable.
https://static.cninfo.com.cn/finalpage/2024-03-19/1219331064.PDF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G2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2024-03-18; Product-series revenue disclosure. Annual report product-series table; includes internal use and trade where applicable.
https://static.cninfo.com.cn/finalpage/2024-03-19/1219331064.PDF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2025-04-14; Product-series volume table. Annual report product-series table; includes internal use and trade where applicable.
https://static.cninfo.com.cn/finalpage/2025-04-15/1223097325.PDF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2025-04-14; Product-series revenue disclosure. Annual report product-series table; includes internal use and trade where applicable.
https://static.cninfo.com.cn/finalpage/2025-04-15/1223097325.PDF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2025-04-14; Product-series volume table. Annual report product-series table; includes internal use and trade where applicable.
https://static.cninfo.com.cn/finalpage/2025-04-15/1223097325.PDF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2025-04-14; Product-series revenue disclosure. Annual report product-series table; includes internal use and trade where applicable.
https://static.cninfo.com.cn/finalpage/2025-04-15/1223097325.PDF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H2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2025-04-14; Product-series volume table. Annual report product-series table; includes internal use and trade where applicable.
https://static.cninfo.com.cn/finalpage/2025-04-15/1223097325.PDF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H2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2025-04-14; Product-series revenue disclosure. Annual report product-series table; includes internal use and trade where applicable.
https://static.cninfo.com.cn/finalpage/2025-04-15/1223097325.PDF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2026-04-20; Product-series volume table. Annual report product-series table; includes internal use and trade where applicable.
https://static.cninfo.com.cn/finalpage/2026-04-21/1225130793.PDF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I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2026-04-20; Product-series revenue disclosure. Annual report product-series table; includes internal use and trade where applicable.
https://static.cninfo.com.cn/finalpage/2026-04-21/1225130793.PDF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I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2026-04-20; Product-series volume table. Annual report product-series table; includes internal use and trade where applicable.
https://static.cninfo.com.cn/finalpage/2026-04-21/1225130793.PDF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I1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2026-04-20; Product-series revenue disclosure. Annual report product-series table; includes internal use and trade where applicable.
https://static.cninfo.com.cn/finalpage/2026-04-21/1225130793.PDF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I2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2026-04-20; Product-series volume table. Annual report product-series table; includes internal use and trade where applicable.
https://static.cninfo.com.cn/finalpage/2026-04-21/1225130793.PDF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I2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2026-04-20; Product-series revenue disclosure. Annual report product-series table; includes internal use and trade where applicable.
https://static.cninfo.com.cn/finalpage/2026-04-21/1225130793.PDF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J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2024-04-18; Product-series volume table. Standalone Q1 operating-data announcement.
https://static.cninfo.com.cn/finalpage/2024-04-19/1219664107.PDF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J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2024-04-18; Product-series revenue disclosure. Standalone Q1 operating-data announcement.
https://static.cninfo.com.cn/finalpage/2024-04-19/1219664107.PDF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J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2024-04-18; Product-series volume table. Standalone Q1 operating-data announcement.
https://static.cninfo.com.cn/finalpage/2024-04-19/1219664107.PDF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J1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2024-04-18; Product-series revenue disclosure. Standalone Q1 operating-data announcement.
https://static.cninfo.com.cn/finalpage/2024-04-19/1219664107.PDF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J2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2024-04-18; Product-series volume table. Standalone Q1 operating-data announcement.
https://static.cninfo.com.cn/finalpage/2024-04-19/1219664107.PDF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J2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2024-04-18; Product-series revenue disclosure. Standalone Q1 operating-data announcement.
https://static.cninfo.com.cn/finalpage/2024-04-19/1219664107.PDF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K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年半年度主要经营数据公告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2024-08-12 + 2024-04-18; Product-series volume table. Standalone Q2 = H1 cumulative less Q1; arithmetic difference, not an estimate.
https://static.cninfo.com.cn/finalpage/2024-08-13/1220849781.PDF | https://static.cninfo.com.cn/finalpage/2024-04-19/1219664107.PDF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K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年半年度主要经营数据公告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2024-08-12 + 2024-04-18; Product-series revenue disclosure. Standalone Q2 = H1 cumulative less Q1; arithmetic difference, not an estimate.
https://static.cninfo.com.cn/finalpage/2024-08-13/1220849781.PDF | https://static.cninfo.com.cn/finalpage/2024-04-19/1219664107.PDF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K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年半年度主要经营数据公告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2024-08-12 + 2024-04-18; Product-series volume table. Standalone Q2 = H1 cumulative less Q1; arithmetic difference, not an estimate.
https://static.cninfo.com.cn/finalpage/2024-08-13/1220849781.PDF | https://static.cninfo.com.cn/finalpage/2024-04-19/1219664107.PDF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K1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年半年度主要经营数据公告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2024-08-12 + 2024-04-18; Product-series revenue disclosure. Standalone Q2 = H1 cumulative less Q1; arithmetic difference, not an estimate.
https://static.cninfo.com.cn/finalpage/2024-08-13/1220849781.PDF | https://static.cninfo.com.cn/finalpage/2024-04-19/1219664107.PDF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K2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年半年度主要经营数据公告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2024-08-12 + 2024-04-18; Product-series volume table. Standalone Q2 = H1 cumulative less Q1; arithmetic difference, not an estimate.
https://static.cninfo.com.cn/finalpage/2024-08-13/1220849781.PDF | https://static.cninfo.com.cn/finalpage/2024-04-19/1219664107.PDF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K2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年半年度主要经营数据公告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2024-08-12 + 2024-04-18; Product-series revenue disclosure. Standalone Q2 = H1 cumulative less Q1; arithmetic difference, not an estimate.
https://static.cninfo.com.cn/finalpage/2024-08-13/1220849781.PDF | https://static.cninfo.com.cn/finalpage/2024-04-19/1219664107.PDF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L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年三季度主要经营数据公告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年半年度主要经营数据公告</t>
        </r>
        <r>
          <rPr>
            <sz val="10"/>
            <rFont val="Arial"/>
            <family val="2"/>
          </rPr>
          <t xml:space="preserve">; date 2024-10-28 + 2024-08-12; Product-series volume table. Standalone Q3 = 9M cumulative less H1; arithmetic difference, not an estimate.
https://static.cninfo.com.cn/finalpage/2024-10-29/1221541141.PDF | https://static.cninfo.com.cn/finalpage/2024-08-13/1220849781.PDF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L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年三季度主要经营数据公告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年半年度主要经营数据公告</t>
        </r>
        <r>
          <rPr>
            <sz val="10"/>
            <rFont val="Arial"/>
            <family val="2"/>
          </rPr>
          <t xml:space="preserve">; date 2024-10-28 + 2024-08-12; Product-series revenue disclosure. Standalone Q3 = 9M cumulative less H1; arithmetic difference, not an estimate.
https://static.cninfo.com.cn/finalpage/2024-10-29/1221541141.PDF | https://static.cninfo.com.cn/finalpage/2024-08-13/1220849781.PDF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L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年三季度主要经营数据公告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年半年度主要经营数据公告</t>
        </r>
        <r>
          <rPr>
            <sz val="10"/>
            <rFont val="Arial"/>
            <family val="2"/>
          </rPr>
          <t xml:space="preserve">; date 2024-10-28 + 2024-08-12; Product-series volume table. Standalone Q3 = 9M cumulative less H1; arithmetic difference, not an estimate.
https://static.cninfo.com.cn/finalpage/2024-10-29/1221541141.PDF | https://static.cninfo.com.cn/finalpage/2024-08-13/1220849781.PDF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L1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年三季度主要经营数据公告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年半年度主要经营数据公告</t>
        </r>
        <r>
          <rPr>
            <sz val="10"/>
            <rFont val="Arial"/>
            <family val="2"/>
          </rPr>
          <t xml:space="preserve">; date 2024-10-28 + 2024-08-12; Product-series revenue disclosure. Standalone Q3 = 9M cumulative less H1; arithmetic difference, not an estimate.
https://static.cninfo.com.cn/finalpage/2024-10-29/1221541141.PDF | https://static.cninfo.com.cn/finalpage/2024-08-13/1220849781.PDF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L2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年三季度主要经营数据公告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年半年度主要经营数据公告</t>
        </r>
        <r>
          <rPr>
            <sz val="10"/>
            <rFont val="Arial"/>
            <family val="2"/>
          </rPr>
          <t xml:space="preserve">; date 2024-10-28 + 2024-08-12; Product-series volume table. Standalone Q3 = 9M cumulative less H1; arithmetic difference, not an estimate.
https://static.cninfo.com.cn/finalpage/2024-10-29/1221541141.PDF | https://static.cninfo.com.cn/finalpage/2024-08-13/1220849781.PDF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L2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年三季度主要经营数据公告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年半年度主要经营数据公告</t>
        </r>
        <r>
          <rPr>
            <sz val="10"/>
            <rFont val="Arial"/>
            <family val="2"/>
          </rPr>
          <t xml:space="preserve">; date 2024-10-28 + 2024-08-12; Product-series revenue disclosure. Standalone Q3 = 9M cumulative less H1; arithmetic difference, not an estimate.
https://static.cninfo.com.cn/finalpage/2024-10-29/1221541141.PDF | https://static.cninfo.com.cn/finalpage/2024-08-13/1220849781.PDF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M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年三季度主要经营数据公告</t>
        </r>
        <r>
          <rPr>
            <sz val="10"/>
            <rFont val="Arial"/>
            <family val="2"/>
          </rPr>
          <t xml:space="preserve">; date 2025-04-14 + 2024-10-28; Product-series volume table. Standalone Q4 = annual product-series total less 9M cumulative; arithmetic difference, not an estimate.
https://static.cninfo.com.cn/finalpage/2025-04-15/1223097325.PDF | https://static.cninfo.com.cn/finalpage/2024-10-29/1221541141.PDF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M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年三季度主要经营数据公告</t>
        </r>
        <r>
          <rPr>
            <sz val="10"/>
            <rFont val="Arial"/>
            <family val="2"/>
          </rPr>
          <t xml:space="preserve">; date 2025-04-14 + 2024-10-28; Product-series revenue disclosure. Standalone Q4 = annual product-series total less 9M cumulative; arithmetic difference, not an estimate.
https://static.cninfo.com.cn/finalpage/2025-04-15/1223097325.PDF | https://static.cninfo.com.cn/finalpage/2024-10-29/1221541141.PDF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M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年三季度主要经营数据公告</t>
        </r>
        <r>
          <rPr>
            <sz val="10"/>
            <rFont val="Arial"/>
            <family val="2"/>
          </rPr>
          <t xml:space="preserve">; date 2025-04-14 + 2024-10-28; Product-series volume table. Standalone Q4 = annual product-series total less 9M cumulative; arithmetic difference, not an estimate.
https://static.cninfo.com.cn/finalpage/2025-04-15/1223097325.PDF | https://static.cninfo.com.cn/finalpage/2024-10-29/1221541141.PDF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M1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年三季度主要经营数据公告</t>
        </r>
        <r>
          <rPr>
            <sz val="10"/>
            <rFont val="Arial"/>
            <family val="2"/>
          </rPr>
          <t xml:space="preserve">; date 2025-04-14 + 2024-10-28; Product-series revenue disclosure. Standalone Q4 = annual product-series total less 9M cumulative; arithmetic difference, not an estimate.
https://static.cninfo.com.cn/finalpage/2025-04-15/1223097325.PDF | https://static.cninfo.com.cn/finalpage/2024-10-29/1221541141.PDF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M2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年三季度主要经营数据公告</t>
        </r>
        <r>
          <rPr>
            <sz val="10"/>
            <rFont val="Arial"/>
            <family val="2"/>
          </rPr>
          <t xml:space="preserve">; date 2025-04-14 + 2024-10-28; Product-series volume table. Standalone Q4 = annual product-series total less 9M cumulative; arithmetic difference, not an estimate.
https://static.cninfo.com.cn/finalpage/2025-04-15/1223097325.PDF | https://static.cninfo.com.cn/finalpage/2024-10-29/1221541141.PDF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M2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年三季度主要经营数据公告</t>
        </r>
        <r>
          <rPr>
            <sz val="10"/>
            <rFont val="Arial"/>
            <family val="2"/>
          </rPr>
          <t xml:space="preserve">; date 2025-04-14 + 2024-10-28; Product-series revenue disclosure. Standalone Q4 = annual product-series total less 9M cumulative; arithmetic difference, not an estimate.
https://static.cninfo.com.cn/finalpage/2025-04-15/1223097325.PDF | https://static.cninfo.com.cn/finalpage/2024-10-29/1221541141.PDF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N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2025-04-14; Product-series volume table. Standalone Q1 operating-data announcement.
https://static.cninfo.com.cn/finalpage/2025-04-15/1223097333.PDF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N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2025-04-14; Product-series revenue disclosure. Standalone Q1 operating-data announcement.
https://static.cninfo.com.cn/finalpage/2025-04-15/1223097333.PDF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N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2025-04-14; Product-series volume table. Standalone Q1 operating-data announcement.
https://static.cninfo.com.cn/finalpage/2025-04-15/1223097333.PDF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N1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2025-04-14; Product-series revenue disclosure. Standalone Q1 operating-data announcement.
https://static.cninfo.com.cn/finalpage/2025-04-15/1223097333.PDF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N2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2025-04-14; Product-series volume table. Standalone Q1 operating-data announcement.
https://static.cninfo.com.cn/finalpage/2025-04-15/1223097333.PDF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N2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2025-04-14; Product-series revenue disclosure. Standalone Q1 operating-data announcement.
https://static.cninfo.com.cn/finalpage/2025-04-15/1223097333.PDF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O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年半年度主要经营数据公告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2025-08-11 + 2025-04-14; Product-series volume table. Standalone Q2 = H1 cumulative less Q1; arithmetic difference, not an estimate.
https://static.cninfo.com.cn/finalpage/2025-08-12/1224444518.PDF | https://static.cninfo.com.cn/finalpage/2025-04-15/1223097333.PDF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O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年半年度主要经营数据公告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2025-08-11 + 2025-04-14; Product-series revenue disclosure. Standalone Q2 = H1 cumulative less Q1; arithmetic difference, not an estimate.
https://static.cninfo.com.cn/finalpage/2025-08-12/1224444518.PDF | https://static.cninfo.com.cn/finalpage/2025-04-15/1223097333.PDF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O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年半年度主要经营数据公告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2025-08-11 + 2025-04-14; Product-series volume table. Standalone Q2 = H1 cumulative less Q1; arithmetic difference, not an estimate.
https://static.cninfo.com.cn/finalpage/2025-08-12/1224444518.PDF | https://static.cninfo.com.cn/finalpage/2025-04-15/1223097333.PDF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O1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年半年度主要经营数据公告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2025-08-11 + 2025-04-14; Product-series revenue disclosure. Standalone Q2 = H1 cumulative less Q1; arithmetic difference, not an estimate.
https://static.cninfo.com.cn/finalpage/2025-08-12/1224444518.PDF | https://static.cninfo.com.cn/finalpage/2025-04-15/1223097333.PDF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O2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年半年度主要经营数据公告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2025-08-11 + 2025-04-14; Product-series volume table. Standalone Q2 = H1 cumulative less Q1; arithmetic difference, not an estimate.
https://static.cninfo.com.cn/finalpage/2025-08-12/1224444518.PDF | https://static.cninfo.com.cn/finalpage/2025-04-15/1223097333.PDF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O2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年半年度主要经营数据公告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年第一季度主要经营数据公告</t>
        </r>
        <r>
          <rPr>
            <sz val="10"/>
            <rFont val="Arial"/>
            <family val="2"/>
          </rPr>
          <t xml:space="preserve">; date 2025-08-11 + 2025-04-14; Product-series revenue disclosure. Standalone Q2 = H1 cumulative less Q1; arithmetic difference, not an estimate.
https://static.cninfo.com.cn/finalpage/2025-08-12/1224444518.PDF | https://static.cninfo.com.cn/finalpage/2025-04-15/1223097333.PDF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P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年三季度主要经营数据公告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年半年度主要经营数据公告</t>
        </r>
        <r>
          <rPr>
            <sz val="10"/>
            <rFont val="Arial"/>
            <family val="2"/>
          </rPr>
          <t xml:space="preserve">; date 2025-10-24 + 2025-08-11; Product-series volume table. Standalone Q3 = 9M cumulative less H1; arithmetic difference, not an estimate.
https://static.cninfo.com.cn/finalpage/2025-10-25/1224733036.PDF | https://static.cninfo.com.cn/finalpage/2025-08-12/1224444518.PDF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P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年三季度主要经营数据公告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年半年度主要经营数据公告</t>
        </r>
        <r>
          <rPr>
            <sz val="10"/>
            <rFont val="Arial"/>
            <family val="2"/>
          </rPr>
          <t xml:space="preserve">; date 2025-10-24 + 2025-08-11; Product-series revenue disclosure. Standalone Q3 = 9M cumulative less H1; arithmetic difference, not an estimate.
https://static.cninfo.com.cn/finalpage/2025-10-25/1224733036.PDF | https://static.cninfo.com.cn/finalpage/2025-08-12/1224444518.PDF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P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年三季度主要经营数据公告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年半年度主要经营数据公告</t>
        </r>
        <r>
          <rPr>
            <sz val="10"/>
            <rFont val="Arial"/>
            <family val="2"/>
          </rPr>
          <t xml:space="preserve">; date 2025-10-24 + 2025-08-11; Product-series volume table. Standalone Q3 = 9M cumulative less H1; arithmetic difference, not an estimate.
https://static.cninfo.com.cn/finalpage/2025-10-25/1224733036.PDF | https://static.cninfo.com.cn/finalpage/2025-08-12/1224444518.PDF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P1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年三季度主要经营数据公告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年半年度主要经营数据公告</t>
        </r>
        <r>
          <rPr>
            <sz val="10"/>
            <rFont val="Arial"/>
            <family val="2"/>
          </rPr>
          <t xml:space="preserve">; date 2025-10-24 + 2025-08-11; Product-series revenue disclosure. Standalone Q3 = 9M cumulative less H1; arithmetic difference, not an estimate.
https://static.cninfo.com.cn/finalpage/2025-10-25/1224733036.PDF | https://static.cninfo.com.cn/finalpage/2025-08-12/1224444518.PDF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P2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年三季度主要经营数据公告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年半年度主要经营数据公告</t>
        </r>
        <r>
          <rPr>
            <sz val="10"/>
            <rFont val="Arial"/>
            <family val="2"/>
          </rPr>
          <t xml:space="preserve">; date 2025-10-24 + 2025-08-11; Product-series volume table. Standalone Q3 = 9M cumulative less H1; arithmetic difference, not an estimate.
https://static.cninfo.com.cn/finalpage/2025-10-25/1224733036.PDF | https://static.cninfo.com.cn/finalpage/2025-08-12/1224444518.PDF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P2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年三季度主要经营数据公告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年半年度主要经营数据公告</t>
        </r>
        <r>
          <rPr>
            <sz val="10"/>
            <rFont val="Arial"/>
            <family val="2"/>
          </rPr>
          <t xml:space="preserve">; date 2025-10-24 + 2025-08-11; Product-series revenue disclosure. Standalone Q3 = 9M cumulative less H1; arithmetic difference, not an estimate.
https://static.cninfo.com.cn/finalpage/2025-10-25/1224733036.PDF | https://static.cninfo.com.cn/finalpage/2025-08-12/1224444518.PDF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Q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年三季度主要经营数据公告</t>
        </r>
        <r>
          <rPr>
            <sz val="10"/>
            <rFont val="Arial"/>
            <family val="2"/>
          </rPr>
          <t xml:space="preserve">; date 2026-04-20 + 2025-10-24; Product-series volume table. Standalone Q4 = annual product-series total less 9M cumulative; arithmetic difference, not an estimate.
https://static.cninfo.com.cn/finalpage/2026-04-21/1225130793.PDF | https://static.cninfo.com.cn/finalpage/2025-10-25/1224733036.PDF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Q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年三季度主要经营数据公告</t>
        </r>
        <r>
          <rPr>
            <sz val="10"/>
            <rFont val="Arial"/>
            <family val="2"/>
          </rPr>
          <t xml:space="preserve">; date 2026-04-20 + 2025-10-24; Product-series revenue disclosure. Standalone Q4 = annual product-series total less 9M cumulative; arithmetic difference, not an estimate.
https://static.cninfo.com.cn/finalpage/2026-04-21/1225130793.PDF | https://static.cninfo.com.cn/finalpage/2025-10-25/1224733036.PDF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Q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年三季度主要经营数据公告</t>
        </r>
        <r>
          <rPr>
            <sz val="10"/>
            <rFont val="Arial"/>
            <family val="2"/>
          </rPr>
          <t xml:space="preserve">; date 2026-04-20 + 2025-10-24; Product-series volume table. Standalone Q4 = annual product-series total less 9M cumulative; arithmetic difference, not an estimate.
https://static.cninfo.com.cn/finalpage/2026-04-21/1225130793.PDF | https://static.cninfo.com.cn/finalpage/2025-10-25/1224733036.PDF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Q1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年三季度主要经营数据公告</t>
        </r>
        <r>
          <rPr>
            <sz val="10"/>
            <rFont val="Arial"/>
            <family val="2"/>
          </rPr>
          <t xml:space="preserve">; date 2026-04-20 + 2025-10-24; Product-series revenue disclosure. Standalone Q4 = annual product-series total less 9M cumulative; arithmetic difference, not an estimate.
https://static.cninfo.com.cn/finalpage/2026-04-21/1225130793.PDF | https://static.cninfo.com.cn/finalpage/2025-10-25/1224733036.PDF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Q2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年三季度主要经营数据公告</t>
        </r>
        <r>
          <rPr>
            <sz val="10"/>
            <rFont val="Arial"/>
            <family val="2"/>
          </rPr>
          <t xml:space="preserve">; date 2026-04-20 + 2025-10-24; Product-series volume table. Standalone Q4 = annual product-series total less 9M cumulative; arithmetic difference, not an estimate.
https://static.cninfo.com.cn/finalpage/2026-04-21/1225130793.PDF | https://static.cninfo.com.cn/finalpage/2025-10-25/1224733036.PDF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Q2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年三季度主要经营数据公告</t>
        </r>
        <r>
          <rPr>
            <sz val="10"/>
            <rFont val="Arial"/>
            <family val="2"/>
          </rPr>
          <t xml:space="preserve">; date 2026-04-20 + 2025-10-24; Product-series revenue disclosure. Standalone Q4 = annual product-series total less 9M cumulative; arithmetic difference, not an estimate.
https://static.cninfo.com.cn/finalpage/2026-04-21/1225130793.PDF | https://static.cninfo.com.cn/finalpage/2025-10-25/1224733036.PDF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R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Arial Unicode MS"/>
            <family val="2"/>
          </rPr>
          <t xml:space="preserve">年一季度主要经营数据公告</t>
        </r>
        <r>
          <rPr>
            <sz val="10"/>
            <rFont val="Arial"/>
            <family val="2"/>
          </rPr>
          <t xml:space="preserve">; date 2026-04-20; Product-series volume table. Standalone Q1 operating-data announcement.
https://static.cninfo.com.cn/finalpage/2026-04-21/1225130804.PDF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R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Arial Unicode MS"/>
            <family val="2"/>
          </rPr>
          <t xml:space="preserve">年一季度主要经营数据公告</t>
        </r>
        <r>
          <rPr>
            <sz val="10"/>
            <rFont val="Arial"/>
            <family val="2"/>
          </rPr>
          <t xml:space="preserve">; date 2026-04-20; Product-series revenue disclosure. Standalone Q1 operating-data announcement.
https://static.cninfo.com.cn/finalpage/2026-04-21/1225130804.PDF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R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Arial Unicode MS"/>
            <family val="2"/>
          </rPr>
          <t xml:space="preserve">年一季度主要经营数据公告</t>
        </r>
        <r>
          <rPr>
            <sz val="10"/>
            <rFont val="Arial"/>
            <family val="2"/>
          </rPr>
          <t xml:space="preserve">; date 2026-04-20; Product-series volume table. Standalone Q1 operating-data announcement.
https://static.cninfo.com.cn/finalpage/2026-04-21/1225130804.PDF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R1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Arial Unicode MS"/>
            <family val="2"/>
          </rPr>
          <t xml:space="preserve">年一季度主要经营数据公告</t>
        </r>
        <r>
          <rPr>
            <sz val="10"/>
            <rFont val="Arial"/>
            <family val="2"/>
          </rPr>
          <t xml:space="preserve">; date 2026-04-20; Product-series revenue disclosure. Standalone Q1 operating-data announcement.
https://static.cninfo.com.cn/finalpage/2026-04-21/1225130804.PDF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R2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Arial Unicode MS"/>
            <family val="2"/>
          </rPr>
          <t xml:space="preserve">年一季度主要经营数据公告</t>
        </r>
        <r>
          <rPr>
            <sz val="10"/>
            <rFont val="Arial"/>
            <family val="2"/>
          </rPr>
          <t xml:space="preserve">; date 2026-04-20; Product-series volume table. Standalone Q1 operating-data announcement.
https://static.cninfo.com.cn/finalpage/2026-04-21/1225130804.PDF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R2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Arial Unicode MS"/>
            <family val="2"/>
          </rPr>
          <t xml:space="preserve">年一季度主要经营数据公告</t>
        </r>
        <r>
          <rPr>
            <sz val="10"/>
            <rFont val="Arial"/>
            <family val="2"/>
          </rPr>
          <t xml:space="preserve">; date 2026-04-20; Product-series revenue disclosure. Standalone Q1 operating-data announcement.
https://static.cninfo.com.cn/finalpage/2026-04-21/1225130804.PDF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V6" authorId="0">
      <text>
        <r>
          <rPr>
            <sz val="10"/>
            <rFont val="Arial"/>
            <family val="2"/>
          </rPr>
          <t xml:space="preserve">2026H1</t>
        </r>
        <r>
          <rPr>
            <sz val="10"/>
            <rFont val="Arial Unicode MS"/>
            <family val="2"/>
          </rPr>
          <t xml:space="preserve">与</t>
        </r>
        <r>
          <rPr>
            <sz val="10"/>
            <rFont val="Arial"/>
            <family val="2"/>
          </rPr>
          <t xml:space="preserve">2026Q1</t>
        </r>
        <r>
          <rPr>
            <sz val="10"/>
            <rFont val="Arial Unicode MS"/>
            <family val="2"/>
          </rPr>
          <t xml:space="preserve">主要经营数据公告</t>
        </r>
        <r>
          <rPr>
            <sz val="10"/>
            <rFont val="Arial"/>
            <family val="2"/>
          </rPr>
          <t xml:space="preserve">; H1 cumulative minus Q1; volume includes internal use; revenue includes trade/internal-use where disclosed.; URL: https://static.cninfo.com.cn/finalpage/2026-08-25/1225497206.PDF ; https://static.cninfo.com.cn/finalpage/2026-04-21/1225130804.PDF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V8" authorId="0">
      <text>
        <r>
          <rPr>
            <sz val="10"/>
            <rFont val="Arial"/>
            <family val="2"/>
          </rPr>
          <t xml:space="preserve">2026H1</t>
        </r>
        <r>
          <rPr>
            <sz val="10"/>
            <rFont val="Arial Unicode MS"/>
            <family val="2"/>
          </rPr>
          <t xml:space="preserve">与</t>
        </r>
        <r>
          <rPr>
            <sz val="10"/>
            <rFont val="Arial"/>
            <family val="2"/>
          </rPr>
          <t xml:space="preserve">2026Q1</t>
        </r>
        <r>
          <rPr>
            <sz val="10"/>
            <rFont val="Arial Unicode MS"/>
            <family val="2"/>
          </rPr>
          <t xml:space="preserve">主要经营数据公告</t>
        </r>
        <r>
          <rPr>
            <sz val="10"/>
            <rFont val="Arial"/>
            <family val="2"/>
          </rPr>
          <t xml:space="preserve">; H1 cumulative minus Q1; volume includes internal use; revenue includes trade/internal-use where disclosed.; URL: https://static.cninfo.com.cn/finalpage/2026-08-25/1225497206.PDF ; https://static.cninfo.com.cn/finalpage/2026-04-21/1225130804.PDF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V16" authorId="0">
      <text>
        <r>
          <rPr>
            <sz val="10"/>
            <rFont val="Arial"/>
            <family val="2"/>
          </rPr>
          <t xml:space="preserve">2026H1</t>
        </r>
        <r>
          <rPr>
            <sz val="10"/>
            <rFont val="Arial Unicode MS"/>
            <family val="2"/>
          </rPr>
          <t xml:space="preserve">与</t>
        </r>
        <r>
          <rPr>
            <sz val="10"/>
            <rFont val="Arial"/>
            <family val="2"/>
          </rPr>
          <t xml:space="preserve">2026Q1</t>
        </r>
        <r>
          <rPr>
            <sz val="10"/>
            <rFont val="Arial Unicode MS"/>
            <family val="2"/>
          </rPr>
          <t xml:space="preserve">主要经营数据公告</t>
        </r>
        <r>
          <rPr>
            <sz val="10"/>
            <rFont val="Arial"/>
            <family val="2"/>
          </rPr>
          <t xml:space="preserve">; H1 cumulative minus Q1; volume includes internal use; revenue includes trade/internal-use where disclosed.; URL: https://static.cninfo.com.cn/finalpage/2026-08-25/1225497206.PDF ; https://static.cninfo.com.cn/finalpage/2026-04-21/1225130804.PDF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V18" authorId="0">
      <text>
        <r>
          <rPr>
            <sz val="10"/>
            <rFont val="Arial"/>
            <family val="2"/>
          </rPr>
          <t xml:space="preserve">2026H1</t>
        </r>
        <r>
          <rPr>
            <sz val="10"/>
            <rFont val="Arial Unicode MS"/>
            <family val="2"/>
          </rPr>
          <t xml:space="preserve">与</t>
        </r>
        <r>
          <rPr>
            <sz val="10"/>
            <rFont val="Arial"/>
            <family val="2"/>
          </rPr>
          <t xml:space="preserve">2026Q1</t>
        </r>
        <r>
          <rPr>
            <sz val="10"/>
            <rFont val="Arial Unicode MS"/>
            <family val="2"/>
          </rPr>
          <t xml:space="preserve">主要经营数据公告</t>
        </r>
        <r>
          <rPr>
            <sz val="10"/>
            <rFont val="Arial"/>
            <family val="2"/>
          </rPr>
          <t xml:space="preserve">; H1 cumulative minus Q1; volume includes internal use; revenue includes trade/internal-use where disclosed.; URL: https://static.cninfo.com.cn/finalpage/2026-08-25/1225497206.PDF ; https://static.cninfo.com.cn/finalpage/2026-04-21/1225130804.PDF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V26" authorId="0">
      <text>
        <r>
          <rPr>
            <sz val="10"/>
            <rFont val="Arial"/>
            <family val="2"/>
          </rPr>
          <t xml:space="preserve">2026H1</t>
        </r>
        <r>
          <rPr>
            <sz val="10"/>
            <rFont val="Arial Unicode MS"/>
            <family val="2"/>
          </rPr>
          <t xml:space="preserve">与</t>
        </r>
        <r>
          <rPr>
            <sz val="10"/>
            <rFont val="Arial"/>
            <family val="2"/>
          </rPr>
          <t xml:space="preserve">2026Q1</t>
        </r>
        <r>
          <rPr>
            <sz val="10"/>
            <rFont val="Arial Unicode MS"/>
            <family val="2"/>
          </rPr>
          <t xml:space="preserve">主要经营数据公告</t>
        </r>
        <r>
          <rPr>
            <sz val="10"/>
            <rFont val="Arial"/>
            <family val="2"/>
          </rPr>
          <t xml:space="preserve">; H1 cumulative minus Q1; volume includes internal use; revenue includes trade/internal-use where disclosed.; URL: https://static.cninfo.com.cn/finalpage/2026-08-25/1225497206.PDF ; https://static.cninfo.com.cn/finalpage/2026-04-21/1225130804.PDF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V28" authorId="0">
      <text>
        <r>
          <rPr>
            <sz val="10"/>
            <rFont val="Arial"/>
            <family val="2"/>
          </rPr>
          <t xml:space="preserve">2026H1</t>
        </r>
        <r>
          <rPr>
            <sz val="10"/>
            <rFont val="Arial Unicode MS"/>
            <family val="2"/>
          </rPr>
          <t xml:space="preserve">与</t>
        </r>
        <r>
          <rPr>
            <sz val="10"/>
            <rFont val="Arial"/>
            <family val="2"/>
          </rPr>
          <t xml:space="preserve">2026Q1</t>
        </r>
        <r>
          <rPr>
            <sz val="10"/>
            <rFont val="Arial Unicode MS"/>
            <family val="2"/>
          </rPr>
          <t xml:space="preserve">主要经营数据公告</t>
        </r>
        <r>
          <rPr>
            <sz val="10"/>
            <rFont val="Arial"/>
            <family val="2"/>
          </rPr>
          <t xml:space="preserve">; H1 cumulative minus Q1; volume includes internal use; revenue includes trade/internal-use where disclosed.; URL: https://static.cninfo.com.cn/finalpage/2026-08-25/1225497206.PDF ; https://static.cninfo.com.cn/finalpage/2026-04-21/1225130804.PDF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Dalton</author>
  </authors>
  <commentList>
    <comment ref="B7" authorId="0">
      <text>
        <r>
          <rPr>
            <sz val="10"/>
            <rFont val="Arial"/>
            <family val="2"/>
          </rPr>
          <t xml:space="preserve">Source: 2018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2019-04-22; Annual product-series table. Annual report product-series cost; includes internal-use cost.
https://static.cninfo.com.cn/finalpage/2019-04-23/1206073832.PDF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Source: 2018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2019-04-22; Annual cost-composition table. Accounting cost-composition share; not a physical recipe.
https://static.cninfo.com.cn/finalpage/2019-04-23/1206073832.PDF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Source: 2018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2019-04-22; Annual product-series table. Annual report product-series cost; includes internal-use cost.
https://static.cninfo.com.cn/finalpage/2019-04-23/1206073832.PDF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Source: 2018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2019-04-22; Annual cost-composition table. Accounting cost-composition share; not a physical recipe.
https://static.cninfo.com.cn/finalpage/2019-04-23/1206073832.PDF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Source: 2018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2019-04-22; Annual product-series table. Annual report product-series cost; includes internal-use cost.
https://static.cninfo.com.cn/finalpage/2019-04-23/1206073832.PDF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Source: 2018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2019-04-22; Annual cost-composition table. Accounting cost-composition share; not a physical recipe.
https://static.cninfo.com.cn/finalpage/2019-04-23/1206073832.PDF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Source: 2019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2020-03-30; Annual product-series table. Annual report product-series cost; includes internal-use cost.
https://static.cninfo.com.cn/finalpage/2020-03-31/1207432775.PDF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Source: 2019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2020-03-30; Annual cost-composition table. Accounting cost-composition share; not a physical recipe.
https://static.cninfo.com.cn/finalpage/2020-03-31/1207432775.PDF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Source: 2019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2020-03-30; Annual product-series table. Annual report product-series cost; includes internal-use cost.
https://static.cninfo.com.cn/finalpage/2020-03-31/1207432775.PDF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Source: 2019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2020-03-30; Annual cost-composition table. Accounting cost-composition share; not a physical recipe.
https://static.cninfo.com.cn/finalpage/2020-03-31/1207432775.PDF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Source: 2019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2020-03-30; Annual product-series table. Annual report product-series cost; includes internal-use cost.
https://static.cninfo.com.cn/finalpage/2020-03-31/1207432775.PDF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Source: 2019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2020-03-30; Annual cost-composition table. Accounting cost-composition share; not a physical recipe.
https://static.cninfo.com.cn/finalpage/2020-03-31/1207432775.PDF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2021-03-15; Annual product-series table. Annual report product-series cost; includes internal-use cost.
https://static.cninfo.com.cn/finalpage/2021-03-16/1209385146.PDF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2021-03-15; Annual cost-composition table. Accounting cost-composition share; not a physical recipe.
https://static.cninfo.com.cn/finalpage/2021-03-16/1209385146.PDF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2021-03-15; Annual product-series table. Annual report product-series cost; includes internal-use cost.
https://static.cninfo.com.cn/finalpage/2021-03-16/1209385146.PDF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2021-03-15; Annual cost-composition table. Accounting cost-composition share; not a physical recipe.
https://static.cninfo.com.cn/finalpage/2021-03-16/1209385146.PDF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2021-03-15; Annual product-series table. Annual report product-series cost; includes internal-use cost.
https://static.cninfo.com.cn/finalpage/2021-03-16/1209385146.PDF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2021-03-15; Annual cost-composition table. Accounting cost-composition share; not a physical recipe.
https://static.cninfo.com.cn/finalpage/2021-03-16/1209385146.PDF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2022-03-14; Annual product-series table. Annual report product-series cost; includes internal-use cost.
https://static.cninfo.com.cn/finalpage/2022-03-15/1212567907.PDF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2022-03-14; Annual cost-composition table. Accounting cost-composition share; not a physical recipe.
https://static.cninfo.com.cn/finalpage/2022-03-15/1212567907.PDF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2022-03-14; Annual product-series table. Annual report product-series cost; includes internal-use cost.
https://static.cninfo.com.cn/finalpage/2022-03-15/1212567907.PDF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2022-03-14; Annual cost-composition table. Accounting cost-composition share; not a physical recipe.
https://static.cninfo.com.cn/finalpage/2022-03-15/1212567907.PDF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2022-03-14; Annual product-series table. Annual report product-series cost; includes internal-use cost.
https://static.cninfo.com.cn/finalpage/2022-03-15/1212567907.PDF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2022-03-14; Annual cost-composition table. Accounting cost-composition share; not a physical recipe.
https://static.cninfo.com.cn/finalpage/2022-03-15/1212567907.PDF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2023-03-20; Annual product-series table. Annual report product-series cost; includes internal-use cost.
https://static.cninfo.com.cn/finalpage/2023-03-21/1216168736.PDF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2023-03-20; Annual cost-composition table. Accounting cost-composition share; not a physical recipe.
https://static.cninfo.com.cn/finalpage/2023-03-21/1216168736.PDF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2023-03-20; Annual product-series table. Annual report product-series cost; includes internal-use cost.
https://static.cninfo.com.cn/finalpage/2023-03-21/1216168736.PDF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2023-03-20; Annual cost-composition table. Accounting cost-composition share; not a physical recipe.
https://static.cninfo.com.cn/finalpage/2023-03-21/1216168736.PDF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2023-03-20; Annual product-series table. Annual report product-series cost; includes internal-use cost.
https://static.cninfo.com.cn/finalpage/2023-03-21/1216168736.PDF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2023-03-20; Annual cost-composition table. Accounting cost-composition share; not a physical recipe.
https://static.cninfo.com.cn/finalpage/2023-03-21/1216168736.PDF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2024-03-18; Annual product-series table. Annual report product-series cost; includes internal-use cost.
https://static.cninfo.com.cn/finalpage/2024-03-19/1219331064.PDF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2024-03-18; Annual cost-composition table. Accounting cost-composition share; not a physical recipe.
https://static.cninfo.com.cn/finalpage/2024-03-19/1219331064.PDF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2024-03-18; Annual product-series table. Annual report product-series cost; includes internal-use cost.
https://static.cninfo.com.cn/finalpage/2024-03-19/1219331064.PDF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2024-03-18; Annual cost-composition table. Accounting cost-composition share; not a physical recipe.
https://static.cninfo.com.cn/finalpage/2024-03-19/1219331064.PDF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G2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2024-03-18; Annual product-series table. Annual report product-series cost; includes internal-use cost.
https://static.cninfo.com.cn/finalpage/2024-03-19/1219331064.PDF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G31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2024-03-18; Annual cost-composition table. Accounting cost-composition share; not a physical recipe.
https://static.cninfo.com.cn/finalpage/2024-03-19/1219331064.PDF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2025-04-14; Annual product-series table. Annual report product-series cost; includes internal-use cost.
https://static.cninfo.com.cn/finalpage/2025-04-15/1223097325.PDF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2025-04-14; Annual cost-composition table. Accounting cost-composition share; not a physical recipe.
https://static.cninfo.com.cn/finalpage/2025-04-15/1223097325.PDF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2025-04-14; Annual product-series table. Annual report product-series cost; includes internal-use cost.
https://static.cninfo.com.cn/finalpage/2025-04-15/1223097325.PDF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H20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2025-04-14; Annual cost-composition table. Accounting cost-composition share; not a physical recipe.
https://static.cninfo.com.cn/finalpage/2025-04-15/1223097325.PDF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H2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2025-04-14; Annual product-series table. Annual report product-series cost; includes internal-use cost.
https://static.cninfo.com.cn/finalpage/2025-04-15/1223097325.PDF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H31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2025-04-14; Annual cost-composition table. Accounting cost-composition share; not a physical recipe.
https://static.cninfo.com.cn/finalpage/2025-04-15/1223097325.PDF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2026-04-20; Annual product-series table. Annual report product-series cost; includes internal-use cost.
https://static.cninfo.com.cn/finalpage/2026-04-21/1225130793.PDF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2026-04-20; Annual cost-composition table. Accounting cost-composition share; not a physical recipe.
https://static.cninfo.com.cn/finalpage/2026-04-21/1225130793.PDF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I18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2026-04-20; Annual product-series table. Annual report product-series cost; includes internal-use cost.
https://static.cninfo.com.cn/finalpage/2026-04-21/1225130793.PDF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I20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2026-04-20; Annual cost-composition table. Accounting cost-composition share; not a physical recipe.
https://static.cninfo.com.cn/finalpage/2026-04-21/1225130793.PDF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I2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2026-04-20; Annual product-series table. Annual report product-series cost; includes internal-use cost.
https://static.cninfo.com.cn/finalpage/2026-04-21/1225130793.PDF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  <comment ref="I31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2026-04-20; Annual cost-composition table. Accounting cost-composition share; not a physical recipe.
https://static.cninfo.com.cn/finalpage/2026-04-21/1225130793.PDF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-177</xdr:colOff>
                <xdr:row>3</xdr:row>
                <xdr:rowOff>17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Dalton</author>
  </authors>
  <commentList>
    <comment ref="B24" authorId="0">
      <text>
        <r>
          <rPr>
            <sz val="10"/>
            <rFont val="Arial"/>
            <family val="2"/>
          </rPr>
          <t xml:space="preserve">Source: 2018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2019-04-22; Annual product-series table. Disclosed annual product-table line.
https://static.cninfo.com.cn/finalpage/2019-04-23/1206073832.PDF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Source: 2018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2019-04-22; Annual product-series table. Disclosed annual product-table line.
https://static.cninfo.com.cn/finalpage/2019-04-23/1206073832.PDF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Source: 2019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2020-03-30; Annual product-series table. Disclosed annual product-table line.
https://static.cninfo.com.cn/finalpage/2020-03-31/1207432775.PDF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Source: 2019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2020-03-30; Annual product-series table. Disclosed annual product-table line.
https://static.cninfo.com.cn/finalpage/2020-03-31/1207432775.PDF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2021-03-15; Annual product-series table. Disclosed annual product-table line.
https://static.cninfo.com.cn/finalpage/2021-03-16/1209385146.PDF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2021-03-15; Annual product-series table. Disclosed annual product-table line.
https://static.cninfo.com.cn/finalpage/2021-03-16/1209385146.PDF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2022-03-14; Annual product-series table. Disclosed annual product-table line.
https://static.cninfo.com.cn/finalpage/2022-03-15/1212567907.PDF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2022-03-14; Annual product-series table. Disclosed annual product-table line.
https://static.cninfo.com.cn/finalpage/2022-03-15/1212567907.PDF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2022-03-14; Annual product-series table. Disclosed annual product-table line.
https://static.cninfo.com.cn/finalpage/2022-03-15/1212567907.PDF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2022-03-14; Annual product-series table. Disclosed annual product-table line.
https://static.cninfo.com.cn/finalpage/2022-03-15/1212567907.PDF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2023-03-20; Annual product-series table. Disclosed annual product-table line.
https://static.cninfo.com.cn/finalpage/2023-03-21/1216168736.PDF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2023-03-20; Annual product-series table. Disclosed annual product-table line.
https://static.cninfo.com.cn/finalpage/2023-03-21/1216168736.PDF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2023-03-20; Annual product-series table. Disclosed annual product-table line.
https://static.cninfo.com.cn/finalpage/2023-03-21/1216168736.PDF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2023-03-20; Annual product-series table. Disclosed annual product-table line.
https://static.cninfo.com.cn/finalpage/2023-03-21/1216168736.PDF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2024-03-18; Annual product-series table. Disclosed annual product-table line.
https://static.cninfo.com.cn/finalpage/2024-03-19/1219331064.PDF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G2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2024-03-18; Annual product-series table. Disclosed annual product-table line.
https://static.cninfo.com.cn/finalpage/2024-03-19/1219331064.PDF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G2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2024-03-18; Annual product-series table. Disclosed annual product-table line.
https://static.cninfo.com.cn/finalpage/2024-03-19/1219331064.PDF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G27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2024-03-18; Annual product-series table. Disclosed annual product-table line.
https://static.cninfo.com.cn/finalpage/2024-03-19/1219331064.PDF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H24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2025-04-14; Annual product-series table. Disclosed annual product-table line.
https://static.cninfo.com.cn/finalpage/2025-04-15/1223097325.PDF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H2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2025-04-14; Annual product-series table. Disclosed annual product-table line.
https://static.cninfo.com.cn/finalpage/2025-04-15/1223097325.PDF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H2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2025-04-14; Annual product-series table. Disclosed annual product-table line.
https://static.cninfo.com.cn/finalpage/2025-04-15/1223097325.PDF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H27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2025-04-14; Annual product-series table. Disclosed annual product-table line.
https://static.cninfo.com.cn/finalpage/2025-04-15/1223097325.PDF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I24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2026-04-20; Annual product-series table. Disclosed annual product-table line.
https://static.cninfo.com.cn/finalpage/2026-04-21/1225130793.PDF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I2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2026-04-20; Annual product-series table. Disclosed annual product-table line.
https://static.cninfo.com.cn/finalpage/2026-04-21/1225130793.PDF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I2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2026-04-20; Annual product-series table. Disclosed annual product-table line.
https://static.cninfo.com.cn/finalpage/2026-04-21/1225130793.PDF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  <comment ref="I27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2026-04-20; Annual product-series table. Disclosed annual product-table line.
https://static.cninfo.com.cn/finalpage/2026-04-21/1225130793.PDF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17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Dalton</author>
  </authors>
  <commentList>
    <comment ref="B6" authorId="0">
      <text>
        <r>
          <rPr>
            <sz val="10"/>
            <rFont val="Arial"/>
            <family val="2"/>
          </rPr>
          <t xml:space="preserve">Source: 2018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2019-04-22; Consolidated statements. Annual consolidated financial statements.
https://static.cninfo.com.cn/finalpage/2019-04-23/1206073832.PDF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Source: 2018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2019-04-22; Consolidated statements. Annual consolidated financial statements.
https://static.cninfo.com.cn/finalpage/2019-04-23/1206073832.PDF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Source: 2018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2019-04-22; Consolidated statements. Annual consolidated financial statements.
https://static.cninfo.com.cn/finalpage/2019-04-23/1206073832.PDF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Source: 2018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2019-04-22; Consolidated statements. Annual consolidated financial statements.
https://static.cninfo.com.cn/finalpage/2019-04-23/1206073832.PDF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Source: 2019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2020-03-30; Consolidated statements. Annual consolidated financial statements.
https://static.cninfo.com.cn/finalpage/2020-03-31/1207432775.PDF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Source: 2019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2020-03-30; Consolidated statements. Annual consolidated financial statements.
https://static.cninfo.com.cn/finalpage/2020-03-31/1207432775.PDF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Source: 2019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2020-03-30; Consolidated statements. Annual consolidated financial statements.
https://static.cninfo.com.cn/finalpage/2020-03-31/1207432775.PDF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Source: 2019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2020-03-30; Consolidated statements. Annual consolidated financial statements.
https://static.cninfo.com.cn/finalpage/2020-03-31/1207432775.PDF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2021-03-15; Consolidated statements. Annual consolidated financial statements.
https://static.cninfo.com.cn/finalpage/2021-03-16/1209385146.PDF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2021-03-15; Consolidated statements. Annual consolidated financial statements.
https://static.cninfo.com.cn/finalpage/2021-03-16/1209385146.PDF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2021-03-15; Consolidated statements. Annual consolidated financial statements.
https://static.cninfo.com.cn/finalpage/2021-03-16/1209385146.PDF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2021-03-15; Consolidated statements. Annual consolidated financial statements.
https://static.cninfo.com.cn/finalpage/2021-03-16/1209385146.PDF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2022-03-14; Consolidated statements. Annual consolidated financial statements.
https://static.cninfo.com.cn/finalpage/2022-03-15/1212567907.PDF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2022-03-14; Consolidated statements. Annual consolidated financial statements.
https://static.cninfo.com.cn/finalpage/2022-03-15/1212567907.PDF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2022-03-14; Consolidated statements. Annual consolidated financial statements.
https://static.cninfo.com.cn/finalpage/2022-03-15/1212567907.PDF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2022-03-14; Consolidated statements. Annual consolidated financial statements.
https://static.cninfo.com.cn/finalpage/2022-03-15/1212567907.PDF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2023-03-20; Consolidated statements. Annual consolidated financial statements.
https://static.cninfo.com.cn/finalpage/2023-03-21/1216168736.PDF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2023-03-20; Consolidated statements. Annual consolidated financial statements.
https://static.cninfo.com.cn/finalpage/2023-03-21/1216168736.PDF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2023-03-20; Consolidated statements. Annual consolidated financial statements.
https://static.cninfo.com.cn/finalpage/2023-03-21/1216168736.PDF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2023-03-20; Consolidated statements. Annual consolidated financial statements.
https://static.cninfo.com.cn/finalpage/2023-03-21/1216168736.PDF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2024-03-18; Consolidated statements. Annual consolidated financial statements.
https://static.cninfo.com.cn/finalpage/2024-03-19/1219331064.PDF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2024-03-18; Consolidated statements. Annual consolidated financial statements.
https://static.cninfo.com.cn/finalpage/2024-03-19/1219331064.PDF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2024-03-18; Consolidated statements. Annual consolidated financial statements.
https://static.cninfo.com.cn/finalpage/2024-03-19/1219331064.PDF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2024-03-18; Consolidated statements. Annual consolidated financial statements.
https://static.cninfo.com.cn/finalpage/2024-03-19/1219331064.PDF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2025-04-14; Consolidated statements. Annual consolidated financial statements.
https://static.cninfo.com.cn/finalpage/2025-04-15/1223097325.PDF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2025-04-14; Consolidated statements. Annual consolidated financial statements.
https://static.cninfo.com.cn/finalpage/2025-04-15/1223097325.PDF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2025-04-14; Consolidated statements. Annual consolidated financial statements.
https://static.cninfo.com.cn/finalpage/2025-04-15/1223097325.PDF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2025-04-14; Consolidated statements. Annual consolidated financial statements.
https://static.cninfo.com.cn/finalpage/2025-04-15/1223097325.PDF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2026-04-20; Consolidated statements. Annual consolidated financial statements.
https://static.cninfo.com.cn/finalpage/2026-04-21/1225130793.PDF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2026-04-20; Consolidated statements. Annual consolidated financial statements.
https://static.cninfo.com.cn/finalpage/2026-04-21/1225130793.PDF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I13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2026-04-20; Consolidated statements. Annual consolidated financial statements.
https://static.cninfo.com.cn/finalpage/2026-04-21/1225130793.PDF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I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2026-04-20; Consolidated statements. Annual consolidated financial statements.
https://static.cninfo.com.cn/finalpage/2026-04-21/1225130793.PDF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J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年第一季度报告</t>
        </r>
        <r>
          <rPr>
            <sz val="10"/>
            <rFont val="Arial"/>
            <family val="2"/>
          </rPr>
          <t xml:space="preserve">; date 2024-04-18; Consolidated statements. Standalone Q1 consolidated financial statements.
https://static.cninfo.com.cn/finalpage/2024-04-19/1219664111.PDF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J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年第一季度报告</t>
        </r>
        <r>
          <rPr>
            <sz val="10"/>
            <rFont val="Arial"/>
            <family val="2"/>
          </rPr>
          <t xml:space="preserve">; date 2024-04-18; Consolidated statements. Standalone Q1 consolidated financial statements.
https://static.cninfo.com.cn/finalpage/2024-04-19/1219664111.PDF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J13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年第一季度报告</t>
        </r>
        <r>
          <rPr>
            <sz val="10"/>
            <rFont val="Arial"/>
            <family val="2"/>
          </rPr>
          <t xml:space="preserve">; date 2024-04-18; Consolidated statements. Standalone Q1 consolidated financial statements.
https://static.cninfo.com.cn/finalpage/2024-04-19/1219664111.PDF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J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年第一季度报告</t>
        </r>
        <r>
          <rPr>
            <sz val="10"/>
            <rFont val="Arial"/>
            <family val="2"/>
          </rPr>
          <t xml:space="preserve">; date 2024-04-18; Consolidated statements. Standalone Q1 consolidated financial statements.
https://static.cninfo.com.cn/finalpage/2024-04-19/1219664111.PDF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K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年半年度报告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年第一季度报告</t>
        </r>
        <r>
          <rPr>
            <sz val="10"/>
            <rFont val="Arial"/>
            <family val="2"/>
          </rPr>
          <t xml:space="preserve">; date 2024-08-12 + 2024-04-18; Consolidated statements. Standalone Q2 = H1 cumulative less Q1; arithmetic difference, not an estimate.
https://static.cninfo.com.cn/finalpage/2024-08-13/1220849778.PDF | https://static.cninfo.com.cn/finalpage/2024-04-19/1219664111.PDF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K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年半年度报告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年第一季度报告</t>
        </r>
        <r>
          <rPr>
            <sz val="10"/>
            <rFont val="Arial"/>
            <family val="2"/>
          </rPr>
          <t xml:space="preserve">; date 2024-08-12 + 2024-04-18; Consolidated statements. Standalone Q2 = H1 cumulative less Q1; arithmetic difference, not an estimate.
https://static.cninfo.com.cn/finalpage/2024-08-13/1220849778.PDF | https://static.cninfo.com.cn/finalpage/2024-04-19/1219664111.PDF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K13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年半年度报告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年第一季度报告</t>
        </r>
        <r>
          <rPr>
            <sz val="10"/>
            <rFont val="Arial"/>
            <family val="2"/>
          </rPr>
          <t xml:space="preserve">; date 2024-08-12 + 2024-04-18; Consolidated statements. Standalone Q2 = H1 cumulative less Q1; arithmetic difference, not an estimate.
https://static.cninfo.com.cn/finalpage/2024-08-13/1220849778.PDF | https://static.cninfo.com.cn/finalpage/2024-04-19/1219664111.PDF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K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年半年度报告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年第一季度报告</t>
        </r>
        <r>
          <rPr>
            <sz val="10"/>
            <rFont val="Arial"/>
            <family val="2"/>
          </rPr>
          <t xml:space="preserve">; date 2024-08-12 + 2024-04-18; Consolidated statements. Standalone Q2 = H1 cumulative less Q1; arithmetic difference, not an estimate.
https://static.cninfo.com.cn/finalpage/2024-08-13/1220849778.PDF | https://static.cninfo.com.cn/finalpage/2024-04-19/1219664111.PDF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L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年半年度报告</t>
        </r>
        <r>
          <rPr>
            <sz val="10"/>
            <rFont val="Arial"/>
            <family val="2"/>
          </rPr>
          <t xml:space="preserve">; date 2024-10-28 + 2024-08-12; Consolidated statements. Standalone Q3 = 9M cumulative less H1; arithmetic difference, not an estimate.
https://static.cninfo.com.cn/finalpage/2024-10-29/1221541140.PDF | https://static.cninfo.com.cn/finalpage/2024-08-13/1220849778.PDF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L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年半年度报告</t>
        </r>
        <r>
          <rPr>
            <sz val="10"/>
            <rFont val="Arial"/>
            <family val="2"/>
          </rPr>
          <t xml:space="preserve">; date 2024-10-28 + 2024-08-12; Consolidated statements. Standalone Q3 = 9M cumulative less H1; arithmetic difference, not an estimate.
https://static.cninfo.com.cn/finalpage/2024-10-29/1221541140.PDF | https://static.cninfo.com.cn/finalpage/2024-08-13/1220849778.PDF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L13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年半年度报告</t>
        </r>
        <r>
          <rPr>
            <sz val="10"/>
            <rFont val="Arial"/>
            <family val="2"/>
          </rPr>
          <t xml:space="preserve">; date 2024-10-28 + 2024-08-12; Consolidated statements. Standalone Q3 = 9M cumulative less H1; arithmetic difference, not an estimate.
https://static.cninfo.com.cn/finalpage/2024-10-29/1221541140.PDF | https://static.cninfo.com.cn/finalpage/2024-08-13/1220849778.PDF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L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年半年度报告</t>
        </r>
        <r>
          <rPr>
            <sz val="10"/>
            <rFont val="Arial"/>
            <family val="2"/>
          </rPr>
          <t xml:space="preserve">; date 2024-10-28 + 2024-08-12; Consolidated statements. Standalone Q3 = 9M cumulative less H1; arithmetic difference, not an estimate.
https://static.cninfo.com.cn/finalpage/2024-10-29/1221541140.PDF | https://static.cninfo.com.cn/finalpage/2024-08-13/1220849778.PDF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M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年三季度报告</t>
        </r>
        <r>
          <rPr>
            <sz val="10"/>
            <rFont val="Arial"/>
            <family val="2"/>
          </rPr>
          <t xml:space="preserve">; date 2025-04-14 + 2024-10-28; Consolidated statements. Standalone Q4 = annual less 9M cumulative; arithmetic difference, not an estimate.
https://static.cninfo.com.cn/finalpage/2025-04-15/1223097325.PDF | https://static.cninfo.com.cn/finalpage/2024-10-29/1221541140.PDF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M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年三季度报告</t>
        </r>
        <r>
          <rPr>
            <sz val="10"/>
            <rFont val="Arial"/>
            <family val="2"/>
          </rPr>
          <t xml:space="preserve">; date 2025-04-14 + 2024-10-28; Consolidated statements. Standalone Q4 = annual less 9M cumulative; arithmetic difference, not an estimate.
https://static.cninfo.com.cn/finalpage/2025-04-15/1223097325.PDF | https://static.cninfo.com.cn/finalpage/2024-10-29/1221541140.PDF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M13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年三季度报告</t>
        </r>
        <r>
          <rPr>
            <sz val="10"/>
            <rFont val="Arial"/>
            <family val="2"/>
          </rPr>
          <t xml:space="preserve">; date 2025-04-14 + 2024-10-28; Consolidated statements. Standalone Q4 = annual less 9M cumulative; arithmetic difference, not an estimate.
https://static.cninfo.com.cn/finalpage/2025-04-15/1223097325.PDF | https://static.cninfo.com.cn/finalpage/2024-10-29/1221541140.PDF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M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年三季度报告</t>
        </r>
        <r>
          <rPr>
            <sz val="10"/>
            <rFont val="Arial"/>
            <family val="2"/>
          </rPr>
          <t xml:space="preserve">; date 2025-04-14 + 2024-10-28; Consolidated statements. Standalone Q4 = annual less 9M cumulative; arithmetic difference, not an estimate.
https://static.cninfo.com.cn/finalpage/2025-04-15/1223097325.PDF | https://static.cninfo.com.cn/finalpage/2024-10-29/1221541140.PDF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N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年一季度报告</t>
        </r>
        <r>
          <rPr>
            <sz val="10"/>
            <rFont val="Arial"/>
            <family val="2"/>
          </rPr>
          <t xml:space="preserve">; date 2025-04-14; Consolidated statements. Standalone Q1 consolidated financial statements.
https://static.cninfo.com.cn/finalpage/2025-04-15/1223097314.PDF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N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年一季度报告</t>
        </r>
        <r>
          <rPr>
            <sz val="10"/>
            <rFont val="Arial"/>
            <family val="2"/>
          </rPr>
          <t xml:space="preserve">; date 2025-04-14; Consolidated statements. Standalone Q1 consolidated financial statements.
https://static.cninfo.com.cn/finalpage/2025-04-15/1223097314.PDF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N13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年一季度报告</t>
        </r>
        <r>
          <rPr>
            <sz val="10"/>
            <rFont val="Arial"/>
            <family val="2"/>
          </rPr>
          <t xml:space="preserve">; date 2025-04-14; Consolidated statements. Standalone Q1 consolidated financial statements.
https://static.cninfo.com.cn/finalpage/2025-04-15/1223097314.PDF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N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年一季度报告</t>
        </r>
        <r>
          <rPr>
            <sz val="10"/>
            <rFont val="Arial"/>
            <family val="2"/>
          </rPr>
          <t xml:space="preserve">; date 2025-04-14; Consolidated statements. Standalone Q1 consolidated financial statements.
https://static.cninfo.com.cn/finalpage/2025-04-15/1223097314.PDF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O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年半年度报告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年一季度报告</t>
        </r>
        <r>
          <rPr>
            <sz val="10"/>
            <rFont val="Arial"/>
            <family val="2"/>
          </rPr>
          <t xml:space="preserve">; date 2025-08-11 + 2025-04-14; Consolidated statements. Standalone Q2 = H1 cumulative less Q1; arithmetic difference, not an estimate.
https://static.cninfo.com.cn/finalpage/2025-08-12/1224444522.PDF | https://static.cninfo.com.cn/finalpage/2025-04-15/1223097314.PDF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O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年半年度报告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年一季度报告</t>
        </r>
        <r>
          <rPr>
            <sz val="10"/>
            <rFont val="Arial"/>
            <family val="2"/>
          </rPr>
          <t xml:space="preserve">; date 2025-08-11 + 2025-04-14; Consolidated statements. Standalone Q2 = H1 cumulative less Q1; arithmetic difference, not an estimate.
https://static.cninfo.com.cn/finalpage/2025-08-12/1224444522.PDF | https://static.cninfo.com.cn/finalpage/2025-04-15/1223097314.PDF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O13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年半年度报告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年一季度报告</t>
        </r>
        <r>
          <rPr>
            <sz val="10"/>
            <rFont val="Arial"/>
            <family val="2"/>
          </rPr>
          <t xml:space="preserve">; date 2025-08-11 + 2025-04-14; Consolidated statements. Standalone Q2 = H1 cumulative less Q1; arithmetic difference, not an estimate.
https://static.cninfo.com.cn/finalpage/2025-08-12/1224444522.PDF | https://static.cninfo.com.cn/finalpage/2025-04-15/1223097314.PDF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O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年半年度报告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年一季度报告</t>
        </r>
        <r>
          <rPr>
            <sz val="10"/>
            <rFont val="Arial"/>
            <family val="2"/>
          </rPr>
          <t xml:space="preserve">; date 2025-08-11 + 2025-04-14; Consolidated statements. Standalone Q2 = H1 cumulative less Q1; arithmetic difference, not an estimate.
https://static.cninfo.com.cn/finalpage/2025-08-12/1224444522.PDF | https://static.cninfo.com.cn/finalpage/2025-04-15/1223097314.PDF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P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年半年度报告</t>
        </r>
        <r>
          <rPr>
            <sz val="10"/>
            <rFont val="Arial"/>
            <family val="2"/>
          </rPr>
          <t xml:space="preserve">; date 2025-10-24 + 2025-08-11; Consolidated statements. Standalone Q3 = 9M cumulative less H1; arithmetic difference, not an estimate.
https://static.cninfo.com.cn/finalpage/2025-10-25/1224733028.PDF | https://static.cninfo.com.cn/finalpage/2025-08-12/1224444522.PDF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P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年半年度报告</t>
        </r>
        <r>
          <rPr>
            <sz val="10"/>
            <rFont val="Arial"/>
            <family val="2"/>
          </rPr>
          <t xml:space="preserve">; date 2025-10-24 + 2025-08-11; Consolidated statements. Standalone Q3 = 9M cumulative less H1; arithmetic difference, not an estimate.
https://static.cninfo.com.cn/finalpage/2025-10-25/1224733028.PDF | https://static.cninfo.com.cn/finalpage/2025-08-12/1224444522.PDF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P13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年半年度报告</t>
        </r>
        <r>
          <rPr>
            <sz val="10"/>
            <rFont val="Arial"/>
            <family val="2"/>
          </rPr>
          <t xml:space="preserve">; date 2025-10-24 + 2025-08-11; Consolidated statements. Standalone Q3 = 9M cumulative less H1; arithmetic difference, not an estimate.
https://static.cninfo.com.cn/finalpage/2025-10-25/1224733028.PDF | https://static.cninfo.com.cn/finalpage/2025-08-12/1224444522.PDF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P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年半年度报告</t>
        </r>
        <r>
          <rPr>
            <sz val="10"/>
            <rFont val="Arial"/>
            <family val="2"/>
          </rPr>
          <t xml:space="preserve">; date 2025-10-24 + 2025-08-11; Consolidated statements. Standalone Q3 = 9M cumulative less H1; arithmetic difference, not an estimate.
https://static.cninfo.com.cn/finalpage/2025-10-25/1224733028.PDF | https://static.cninfo.com.cn/finalpage/2025-08-12/1224444522.PDF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Q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年三季度报告</t>
        </r>
        <r>
          <rPr>
            <sz val="10"/>
            <rFont val="Arial"/>
            <family val="2"/>
          </rPr>
          <t xml:space="preserve">; date 2026-04-20 + 2025-10-24; Consolidated statements. Standalone Q4 = annual less 9M cumulative; arithmetic difference, not an estimate.
https://static.cninfo.com.cn/finalpage/2026-04-21/1225130793.PDF | https://static.cninfo.com.cn/finalpage/2025-10-25/1224733028.PDF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Q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年三季度报告</t>
        </r>
        <r>
          <rPr>
            <sz val="10"/>
            <rFont val="Arial"/>
            <family val="2"/>
          </rPr>
          <t xml:space="preserve">; date 2026-04-20 + 2025-10-24; Consolidated statements. Standalone Q4 = annual less 9M cumulative; arithmetic difference, not an estimate.
https://static.cninfo.com.cn/finalpage/2026-04-21/1225130793.PDF | https://static.cninfo.com.cn/finalpage/2025-10-25/1224733028.PDF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Q13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年三季度报告</t>
        </r>
        <r>
          <rPr>
            <sz val="10"/>
            <rFont val="Arial"/>
            <family val="2"/>
          </rPr>
          <t xml:space="preserve">; date 2026-04-20 + 2025-10-24; Consolidated statements. Standalone Q4 = annual less 9M cumulative; arithmetic difference, not an estimate.
https://static.cninfo.com.cn/finalpage/2026-04-21/1225130793.PDF | https://static.cninfo.com.cn/finalpage/2025-10-25/1224733028.PDF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Q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年三季度报告</t>
        </r>
        <r>
          <rPr>
            <sz val="10"/>
            <rFont val="Arial"/>
            <family val="2"/>
          </rPr>
          <t xml:space="preserve">; date 2026-04-20 + 2025-10-24; Consolidated statements. Standalone Q4 = annual less 9M cumulative; arithmetic difference, not an estimate.
https://static.cninfo.com.cn/finalpage/2026-04-21/1225130793.PDF | https://static.cninfo.com.cn/finalpage/2025-10-25/1224733028.PDF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R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Arial Unicode MS"/>
            <family val="2"/>
          </rPr>
          <t xml:space="preserve">年一季度报告</t>
        </r>
        <r>
          <rPr>
            <sz val="10"/>
            <rFont val="Arial"/>
            <family val="2"/>
          </rPr>
          <t xml:space="preserve">; date 2026-04-20; Consolidated statements. Standalone Q1 consolidated financial statements.
https://static.cninfo.com.cn/finalpage/2026-04-21/1225130687.PDF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R9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Arial Unicode MS"/>
            <family val="2"/>
          </rPr>
          <t xml:space="preserve">年一季度报告</t>
        </r>
        <r>
          <rPr>
            <sz val="10"/>
            <rFont val="Arial"/>
            <family val="2"/>
          </rPr>
          <t xml:space="preserve">; date 2026-04-20; Consolidated statements. Standalone Q1 consolidated financial statements.
https://static.cninfo.com.cn/finalpage/2026-04-21/1225130687.PDF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R13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Arial Unicode MS"/>
            <family val="2"/>
          </rPr>
          <t xml:space="preserve">年一季度报告</t>
        </r>
        <r>
          <rPr>
            <sz val="10"/>
            <rFont val="Arial"/>
            <family val="2"/>
          </rPr>
          <t xml:space="preserve">; date 2026-04-20; Consolidated statements. Standalone Q1 consolidated financial statements.
https://static.cninfo.com.cn/finalpage/2026-04-21/1225130687.PDF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R1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Arial Unicode MS"/>
            <family val="2"/>
          </rPr>
          <t xml:space="preserve">年一季度报告</t>
        </r>
        <r>
          <rPr>
            <sz val="10"/>
            <rFont val="Arial"/>
            <family val="2"/>
          </rPr>
          <t xml:space="preserve">; date 2026-04-20; Consolidated statements. Standalone Q1 consolidated financial statements.
https://static.cninfo.com.cn/finalpage/2026-04-21/1225130687.PDF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V6" authorId="0">
      <text>
        <r>
          <rPr>
            <sz val="10"/>
            <rFont val="Arial"/>
            <family val="2"/>
          </rPr>
          <t xml:space="preserve">2026H1</t>
        </r>
        <r>
          <rPr>
            <sz val="10"/>
            <rFont val="Arial Unicode MS"/>
            <family val="2"/>
          </rPr>
          <t xml:space="preserve">报告与</t>
        </r>
        <r>
          <rPr>
            <sz val="10"/>
            <rFont val="Arial"/>
            <family val="2"/>
          </rPr>
          <t xml:space="preserve">2026Q1</t>
        </r>
        <r>
          <rPr>
            <sz val="10"/>
            <rFont val="Arial Unicode MS"/>
            <family val="2"/>
          </rPr>
          <t xml:space="preserve">报告</t>
        </r>
        <r>
          <rPr>
            <sz val="10"/>
            <rFont val="Arial"/>
            <family val="2"/>
          </rPr>
          <t xml:space="preserve">; H1 cumulative filing actual less Q1 filing actual; arithmetic difference, not an estimate.; URL: https://static.cninfo.com.cn/finalpage/2026-08-25/1225497561.PDF ; https://static.cninfo.com.cn/finalpage/2026-04-21/1225130687.PDF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V9" authorId="0">
      <text>
        <r>
          <rPr>
            <sz val="10"/>
            <rFont val="Arial"/>
            <family val="2"/>
          </rPr>
          <t xml:space="preserve">2026H1</t>
        </r>
        <r>
          <rPr>
            <sz val="10"/>
            <rFont val="Arial Unicode MS"/>
            <family val="2"/>
          </rPr>
          <t xml:space="preserve">报告与</t>
        </r>
        <r>
          <rPr>
            <sz val="10"/>
            <rFont val="Arial"/>
            <family val="2"/>
          </rPr>
          <t xml:space="preserve">2026Q1</t>
        </r>
        <r>
          <rPr>
            <sz val="10"/>
            <rFont val="Arial Unicode MS"/>
            <family val="2"/>
          </rPr>
          <t xml:space="preserve">报告</t>
        </r>
        <r>
          <rPr>
            <sz val="10"/>
            <rFont val="Arial"/>
            <family val="2"/>
          </rPr>
          <t xml:space="preserve">; H1 cumulative filing actual less Q1 filing actual; arithmetic difference, not an estimate.; URL: https://static.cninfo.com.cn/finalpage/2026-08-25/1225497561.PDF ; https://static.cninfo.com.cn/finalpage/2026-04-21/1225130687.PDF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V13" authorId="0">
      <text>
        <r>
          <rPr>
            <sz val="10"/>
            <rFont val="Arial"/>
            <family val="2"/>
          </rPr>
          <t xml:space="preserve">2026H1</t>
        </r>
        <r>
          <rPr>
            <sz val="10"/>
            <rFont val="Arial Unicode MS"/>
            <family val="2"/>
          </rPr>
          <t xml:space="preserve">报告与</t>
        </r>
        <r>
          <rPr>
            <sz val="10"/>
            <rFont val="Arial"/>
            <family val="2"/>
          </rPr>
          <t xml:space="preserve">2026Q1</t>
        </r>
        <r>
          <rPr>
            <sz val="10"/>
            <rFont val="Arial Unicode MS"/>
            <family val="2"/>
          </rPr>
          <t xml:space="preserve">报告</t>
        </r>
        <r>
          <rPr>
            <sz val="10"/>
            <rFont val="Arial"/>
            <family val="2"/>
          </rPr>
          <t xml:space="preserve">; H1 cumulative filing actual less Q1 filing actual; arithmetic difference, not an estimate.; URL: https://static.cninfo.com.cn/finalpage/2026-08-25/1225497561.PDF ; https://static.cninfo.com.cn/finalpage/2026-04-21/1225130687.PDF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  <comment ref="V16" authorId="0">
      <text>
        <r>
          <rPr>
            <sz val="10"/>
            <rFont val="Arial"/>
            <family val="2"/>
          </rPr>
          <t xml:space="preserve">2026H1</t>
        </r>
        <r>
          <rPr>
            <sz val="10"/>
            <rFont val="Arial Unicode MS"/>
            <family val="2"/>
          </rPr>
          <t xml:space="preserve">报告与</t>
        </r>
        <r>
          <rPr>
            <sz val="10"/>
            <rFont val="Arial"/>
            <family val="2"/>
          </rPr>
          <t xml:space="preserve">2026Q1</t>
        </r>
        <r>
          <rPr>
            <sz val="10"/>
            <rFont val="Arial Unicode MS"/>
            <family val="2"/>
          </rPr>
          <t xml:space="preserve">报告</t>
        </r>
        <r>
          <rPr>
            <sz val="10"/>
            <rFont val="Arial"/>
            <family val="2"/>
          </rPr>
          <t xml:space="preserve">; H1 cumulative filing actual less Q1 filing actual; arithmetic difference, not an estimate.; URL: https://static.cninfo.com.cn/finalpage/2026-08-25/1225497561.PDF ; https://static.cninfo.com.cn/finalpage/2026-04-21/1225130687.PDF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3</xdr:row>
                <xdr:rowOff>17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Dalton</author>
  </authors>
  <commentList>
    <comment ref="B5" authorId="0">
      <text>
        <r>
          <rPr>
            <sz val="10"/>
            <rFont val="Arial"/>
            <family val="2"/>
          </rPr>
          <t xml:space="preserve">Source: 2018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2019-04-22; Consolidated cash-flow statements. Annual consolidated cash-flow statement.
https://static.cninfo.com.cn/finalpage/2019-04-23/1206073832.PDF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Source: 2018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2019-04-22; Consolidated cash-flow statements. Annual consolidated cash-flow statement.
https://static.cninfo.com.cn/finalpage/2019-04-23/1206073832.PDF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Source: 2019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2020-03-30; Consolidated cash-flow statements. Annual consolidated cash-flow statement.
https://static.cninfo.com.cn/finalpage/2020-03-31/1207432775.PDF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Source: 2019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2020-03-30; Consolidated cash-flow statements. Annual consolidated cash-flow statement.
https://static.cninfo.com.cn/finalpage/2020-03-31/1207432775.PDF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2021-03-15; Consolidated cash-flow statements. Annual consolidated cash-flow statement.
https://static.cninfo.com.cn/finalpage/2021-03-16/1209385146.PDF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2021-03-15; Consolidated cash-flow statements. Annual consolidated cash-flow statement.
https://static.cninfo.com.cn/finalpage/2021-03-16/1209385146.PDF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E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2022-03-14; Consolidated cash-flow statements. Annual consolidated cash-flow statement.
https://static.cninfo.com.cn/finalpage/2022-03-15/1212567907.PDF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Arial Unicode MS"/>
            <family val="2"/>
          </rPr>
          <t xml:space="preserve">年度报告</t>
        </r>
        <r>
          <rPr>
            <sz val="10"/>
            <rFont val="Arial"/>
            <family val="2"/>
          </rPr>
          <t xml:space="preserve">; date 2022-03-14; Consolidated cash-flow statements. Annual consolidated cash-flow statement.
https://static.cninfo.com.cn/finalpage/2022-03-15/1212567907.PDF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2023-03-20; Consolidated cash-flow statements. Annual consolidated cash-flow statement.
https://static.cninfo.com.cn/finalpage/2023-03-21/1216168736.PDF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2023-03-20; Consolidated cash-flow statements. Annual consolidated cash-flow statement.
https://static.cninfo.com.cn/finalpage/2023-03-21/1216168736.PDF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G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2024-03-18; Consolidated cash-flow statements. Annual consolidated cash-flow statement.
https://static.cninfo.com.cn/finalpage/2024-03-19/1219331064.PDF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2024-03-18; Consolidated cash-flow statements. Annual consolidated cash-flow statement.
https://static.cninfo.com.cn/finalpage/2024-03-19/1219331064.PDF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H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2025-04-14; Consolidated cash-flow statements. Annual consolidated cash-flow statement.
https://static.cninfo.com.cn/finalpage/2025-04-15/1223097325.PDF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2025-04-14; Consolidated cash-flow statements. Annual consolidated cash-flow statement.
https://static.cninfo.com.cn/finalpage/2025-04-15/1223097325.PDF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I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2026-04-20; Consolidated cash-flow statements. Annual consolidated cash-flow statement.
https://static.cninfo.com.cn/finalpage/2026-04-21/1225130793.PDF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</t>
        </r>
        <r>
          <rPr>
            <sz val="10"/>
            <rFont val="Arial"/>
            <family val="2"/>
          </rPr>
          <t xml:space="preserve">; date 2026-04-20; Consolidated cash-flow statements. Annual consolidated cash-flow statement.
https://static.cninfo.com.cn/finalpage/2026-04-21/1225130793.PDF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J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年第一季度报告</t>
        </r>
        <r>
          <rPr>
            <sz val="10"/>
            <rFont val="Arial"/>
            <family val="2"/>
          </rPr>
          <t xml:space="preserve">; date 2024-04-18; Consolidated cash-flow statements. Standalone Q1 consolidated cash-flow statement.
https://static.cninfo.com.cn/finalpage/2024-04-19/1219664111.PDF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J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年第一季度报告</t>
        </r>
        <r>
          <rPr>
            <sz val="10"/>
            <rFont val="Arial"/>
            <family val="2"/>
          </rPr>
          <t xml:space="preserve">; date 2024-04-18; Consolidated cash-flow statements. Standalone Q1 consolidated cash-flow statement.
https://static.cninfo.com.cn/finalpage/2024-04-19/1219664111.PDF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K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年半年度报告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年第一季度报告</t>
        </r>
        <r>
          <rPr>
            <sz val="10"/>
            <rFont val="Arial"/>
            <family val="2"/>
          </rPr>
          <t xml:space="preserve">; date 2024-08-12 + 2024-04-18; Consolidated cash-flow statements. Standalone Q2 = H1 cumulative less Q1; arithmetic difference, not an estimate.
https://static.cninfo.com.cn/finalpage/2024-08-13/1220849778.PDF | https://static.cninfo.com.cn/finalpage/2024-04-19/1219664111.PDF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K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年半年度报告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年第一季度报告</t>
        </r>
        <r>
          <rPr>
            <sz val="10"/>
            <rFont val="Arial"/>
            <family val="2"/>
          </rPr>
          <t xml:space="preserve">; date 2024-08-12 + 2024-04-18; Consolidated cash-flow statements. Standalone Q2 = H1 cumulative less Q1; arithmetic difference, not an estimate.
https://static.cninfo.com.cn/finalpage/2024-08-13/1220849778.PDF | https://static.cninfo.com.cn/finalpage/2024-04-19/1219664111.PDF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L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年半年度报告</t>
        </r>
        <r>
          <rPr>
            <sz val="10"/>
            <rFont val="Arial"/>
            <family val="2"/>
          </rPr>
          <t xml:space="preserve">; date 2024-10-28 + 2024-08-12; Consolidated cash-flow statements. Standalone Q3 = 9M cumulative less H1; arithmetic difference, not an estimate.
https://static.cninfo.com.cn/finalpage/2024-10-29/1221541140.PDF | https://static.cninfo.com.cn/finalpage/2024-08-13/1220849778.PDF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L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年半年度报告</t>
        </r>
        <r>
          <rPr>
            <sz val="10"/>
            <rFont val="Arial"/>
            <family val="2"/>
          </rPr>
          <t xml:space="preserve">; date 2024-10-28 + 2024-08-12; Consolidated cash-flow statements. Standalone Q3 = 9M cumulative less H1; arithmetic difference, not an estimate.
https://static.cninfo.com.cn/finalpage/2024-10-29/1221541140.PDF | https://static.cninfo.com.cn/finalpage/2024-08-13/1220849778.PDF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M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年三季度报告</t>
        </r>
        <r>
          <rPr>
            <sz val="10"/>
            <rFont val="Arial"/>
            <family val="2"/>
          </rPr>
          <t xml:space="preserve">; date 2025-04-14 + 2024-10-28; Consolidated cash-flow statements. Standalone Q4 = annual less 9M cumulative; arithmetic difference, not an estimate.
https://static.cninfo.com.cn/finalpage/2025-04-15/1223097325.PDF | https://static.cninfo.com.cn/finalpage/2024-10-29/1221541140.PDF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M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Arial Unicode MS"/>
            <family val="2"/>
          </rPr>
          <t xml:space="preserve">年三季度报告</t>
        </r>
        <r>
          <rPr>
            <sz val="10"/>
            <rFont val="Arial"/>
            <family val="2"/>
          </rPr>
          <t xml:space="preserve">; date 2025-04-14 + 2024-10-28; Consolidated cash-flow statements. Standalone Q4 = annual less 9M cumulative; arithmetic difference, not an estimate.
https://static.cninfo.com.cn/finalpage/2025-04-15/1223097325.PDF | https://static.cninfo.com.cn/finalpage/2024-10-29/1221541140.PDF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N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年一季度报告</t>
        </r>
        <r>
          <rPr>
            <sz val="10"/>
            <rFont val="Arial"/>
            <family val="2"/>
          </rPr>
          <t xml:space="preserve">; date 2025-04-14; Consolidated cash-flow statements. Standalone Q1 consolidated cash-flow statement.
https://static.cninfo.com.cn/finalpage/2025-04-15/1223097314.PDF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N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年一季度报告</t>
        </r>
        <r>
          <rPr>
            <sz val="10"/>
            <rFont val="Arial"/>
            <family val="2"/>
          </rPr>
          <t xml:space="preserve">; date 2025-04-14; Consolidated cash-flow statements. Standalone Q1 consolidated cash-flow statement.
https://static.cninfo.com.cn/finalpage/2025-04-15/1223097314.PDF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O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年半年度报告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年一季度报告</t>
        </r>
        <r>
          <rPr>
            <sz val="10"/>
            <rFont val="Arial"/>
            <family val="2"/>
          </rPr>
          <t xml:space="preserve">; date 2025-08-11 + 2025-04-14; Consolidated cash-flow statements. Standalone Q2 = H1 cumulative less Q1; arithmetic difference, not an estimate.
https://static.cninfo.com.cn/finalpage/2025-08-12/1224444522.PDF | https://static.cninfo.com.cn/finalpage/2025-04-15/1223097314.PDF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O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年半年度报告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年一季度报告</t>
        </r>
        <r>
          <rPr>
            <sz val="10"/>
            <rFont val="Arial"/>
            <family val="2"/>
          </rPr>
          <t xml:space="preserve">; date 2025-08-11 + 2025-04-14; Consolidated cash-flow statements. Standalone Q2 = H1 cumulative less Q1; arithmetic difference, not an estimate.
https://static.cninfo.com.cn/finalpage/2025-08-12/1224444522.PDF | https://static.cninfo.com.cn/finalpage/2025-04-15/1223097314.PDF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P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年半年度报告</t>
        </r>
        <r>
          <rPr>
            <sz val="10"/>
            <rFont val="Arial"/>
            <family val="2"/>
          </rPr>
          <t xml:space="preserve">; date 2025-10-24 + 2025-08-11; Consolidated cash-flow statements. Standalone Q3 = 9M cumulative less H1; arithmetic difference, not an estimate.
https://static.cninfo.com.cn/finalpage/2025-10-25/1224733028.PDF | https://static.cninfo.com.cn/finalpage/2025-08-12/1224444522.PDF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P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年半年度报告</t>
        </r>
        <r>
          <rPr>
            <sz val="10"/>
            <rFont val="Arial"/>
            <family val="2"/>
          </rPr>
          <t xml:space="preserve">; date 2025-10-24 + 2025-08-11; Consolidated cash-flow statements. Standalone Q3 = 9M cumulative less H1; arithmetic difference, not an estimate.
https://static.cninfo.com.cn/finalpage/2025-10-25/1224733028.PDF | https://static.cninfo.com.cn/finalpage/2025-08-12/1224444522.PDF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Q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年三季度报告</t>
        </r>
        <r>
          <rPr>
            <sz val="10"/>
            <rFont val="Arial"/>
            <family val="2"/>
          </rPr>
          <t xml:space="preserve">; date 2026-04-20 + 2025-10-24; Consolidated cash-flow statements. Standalone Q4 = annual less 9M cumulative; arithmetic difference, not an estimate.
https://static.cninfo.com.cn/finalpage/2026-04-21/1225130793.PDF | https://static.cninfo.com.cn/finalpage/2025-10-25/1224733028.PDF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Q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年年度报告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Arial Unicode MS"/>
            <family val="2"/>
          </rPr>
          <t xml:space="preserve">年三季度报告</t>
        </r>
        <r>
          <rPr>
            <sz val="10"/>
            <rFont val="Arial"/>
            <family val="2"/>
          </rPr>
          <t xml:space="preserve">; date 2026-04-20 + 2025-10-24; Consolidated cash-flow statements. Standalone Q4 = annual less 9M cumulative; arithmetic difference, not an estimate.
https://static.cninfo.com.cn/finalpage/2026-04-21/1225130793.PDF | https://static.cninfo.com.cn/finalpage/2025-10-25/1224733028.PDF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R5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Arial Unicode MS"/>
            <family val="2"/>
          </rPr>
          <t xml:space="preserve">年一季度报告</t>
        </r>
        <r>
          <rPr>
            <sz val="10"/>
            <rFont val="Arial"/>
            <family val="2"/>
          </rPr>
          <t xml:space="preserve">; date 2026-04-20; Consolidated cash-flow statements. Standalone Q1 consolidated cash-flow statement.
https://static.cninfo.com.cn/finalpage/2026-04-21/1225130687.PDF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R6" authorId="0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Arial Unicode MS"/>
            <family val="2"/>
          </rPr>
          <t xml:space="preserve">万华化学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Arial Unicode MS"/>
            <family val="2"/>
          </rPr>
          <t xml:space="preserve">年一季度报告</t>
        </r>
        <r>
          <rPr>
            <sz val="10"/>
            <rFont val="Arial"/>
            <family val="2"/>
          </rPr>
          <t xml:space="preserve">; date 2026-04-20; Consolidated cash-flow statements. Standalone Q1 consolidated cash-flow statement.
https://static.cninfo.com.cn/finalpage/2026-04-21/1225130687.PDF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V5" authorId="0">
      <text>
        <r>
          <rPr>
            <sz val="10"/>
            <rFont val="Arial"/>
            <family val="2"/>
          </rPr>
          <t xml:space="preserve">2026H1</t>
        </r>
        <r>
          <rPr>
            <sz val="10"/>
            <rFont val="Arial Unicode MS"/>
            <family val="2"/>
          </rPr>
          <t xml:space="preserve">报告与</t>
        </r>
        <r>
          <rPr>
            <sz val="10"/>
            <rFont val="Arial"/>
            <family val="2"/>
          </rPr>
          <t xml:space="preserve">2026Q1</t>
        </r>
        <r>
          <rPr>
            <sz val="10"/>
            <rFont val="Arial Unicode MS"/>
            <family val="2"/>
          </rPr>
          <t xml:space="preserve">报告</t>
        </r>
        <r>
          <rPr>
            <sz val="10"/>
            <rFont val="Arial"/>
            <family val="2"/>
          </rPr>
          <t xml:space="preserve">; H1 cumulative filing actual less Q1 filing actual; arithmetic difference, not an estimate.; URL: https://static.cninfo.com.cn/finalpage/2026-08-25/1225497561.PDF ; https://static.cninfo.com.cn/finalpage/2026-04-21/1225130687.PDF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  <comment ref="V6" authorId="0">
      <text>
        <r>
          <rPr>
            <sz val="10"/>
            <rFont val="Arial"/>
            <family val="2"/>
          </rPr>
          <t xml:space="preserve">2026H1</t>
        </r>
        <r>
          <rPr>
            <sz val="10"/>
            <rFont val="Arial Unicode MS"/>
            <family val="2"/>
          </rPr>
          <t xml:space="preserve">报告与</t>
        </r>
        <r>
          <rPr>
            <sz val="10"/>
            <rFont val="Arial"/>
            <family val="2"/>
          </rPr>
          <t xml:space="preserve">2026Q1</t>
        </r>
        <r>
          <rPr>
            <sz val="10"/>
            <rFont val="Arial Unicode MS"/>
            <family val="2"/>
          </rPr>
          <t xml:space="preserve">报告</t>
        </r>
        <r>
          <rPr>
            <sz val="10"/>
            <rFont val="Arial"/>
            <family val="2"/>
          </rPr>
          <t xml:space="preserve">; H1 cumulative filing actual less Q1 filing actual; arithmetic difference, not an estimate.; URL: https://static.cninfo.com.cn/finalpage/2026-08-25/1225497561.PDF ; https://static.cninfo.com.cn/finalpage/2026-04-21/1225130687.PDF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-191</xdr:colOff>
                <xdr:row>3</xdr:row>
                <xdr:rowOff>17</xdr:rowOff>
              </xdr:to>
            </anchor>
          </commentPr>
        </mc:Choice>
        <mc:Fallback/>
      </mc:AlternateContent>
    </comment>
  </commentList>
</comments>
</file>

<file path=xl/comments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Dalton</author>
  </authors>
  <commentList>
    <comment ref="B8" authorId="0">
      <text>
        <r>
          <rPr>
            <sz val="10"/>
            <rFont val="Arial"/>
            <family val="2"/>
          </rPr>
          <t xml:space="preserve">Source: Model methodology assumption; date 2026-07-27; Spread methodology. Sensitivity factor carried from the documented simple-model methodology; not an observed fact.
N/A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17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<sst xmlns="http://schemas.openxmlformats.org/spreadsheetml/2006/main" count="4762" uniqueCount="637">
  <si>
    <t xml:space="preserve">万华化学简版化工模型</t>
  </si>
  <si>
    <t xml:space="preserve">New period standard: annual 2018A–2025A; quarterly actuals 2024Q1A–2026Q2A; annual forecast 2026E–2028E; quarterly forecast 2026Q3E–2027Q4E</t>
  </si>
  <si>
    <t xml:space="preserve">Model identity</t>
  </si>
  <si>
    <t xml:space="preserve">Company</t>
  </si>
  <si>
    <t xml:space="preserve">万华化学集团股份有限公司</t>
  </si>
  <si>
    <t xml:space="preserve">Ticker</t>
  </si>
  <si>
    <t xml:space="preserve">600309.SH</t>
  </si>
  <si>
    <t xml:space="preserve">Currency / unit</t>
  </si>
  <si>
    <t xml:space="preserve">RMB mm</t>
  </si>
  <si>
    <t xml:space="preserve">Annual history</t>
  </si>
  <si>
    <t xml:space="preserve">2018A–2025A</t>
  </si>
  <si>
    <t xml:space="preserve">Quarterly history</t>
  </si>
  <si>
    <t xml:space="preserve">2024Q1A–2026Q2A</t>
  </si>
  <si>
    <t xml:space="preserve">Annual forecast</t>
  </si>
  <si>
    <t xml:space="preserve">2026E–2028E</t>
  </si>
  <si>
    <t xml:space="preserve">Quarterly forecast</t>
  </si>
  <si>
    <t xml:space="preserve">2026Q3E–2027Q4E</t>
  </si>
  <si>
    <t xml:space="preserve">Model date</t>
  </si>
  <si>
    <t xml:space="preserve">2026-08-24</t>
  </si>
  <si>
    <t xml:space="preserve">Version</t>
  </si>
  <si>
    <t xml:space="preserve">2026H1 actual update v2.1</t>
  </si>
  <si>
    <t xml:space="preserve">Critical boundary notes</t>
  </si>
  <si>
    <t xml:space="preserve">Annual actuals use annual reports. Standalone Q2/Q3/Q4 consolidated actuals are arithmetic differences of cumulative primary filings; they are not estimates.</t>
  </si>
  <si>
    <t xml:space="preserve">Product-series sales volumes include internal use; apparent ASP is a blended proxy. Product-series revenue includes trade and internal-use revenue.</t>
  </si>
  <si>
    <t xml:space="preserve">Quarterly product-series costs are not disclosed and remain blank. No quarterly cost allocation is forced.</t>
  </si>
  <si>
    <t xml:space="preserve">Historical hardcodes are blue; formulas black; cross-sheet formulas green; forecast assumptions are yellow.</t>
  </si>
  <si>
    <t xml:space="preserve">All forecast passthroughs use IF(source="","",source) or equivalent blank gates.</t>
  </si>
  <si>
    <t xml:space="preserve">Color convention</t>
  </si>
  <si>
    <t xml:space="preserve">Hardcode / actual</t>
  </si>
  <si>
    <t xml:space="preserve">Aa123</t>
  </si>
  <si>
    <t xml:space="preserve">Formula</t>
  </si>
  <si>
    <t xml:space="preserve">Cross-sheet formula</t>
  </si>
  <si>
    <t xml:space="preserve">External link</t>
  </si>
  <si>
    <t xml:space="preserve">Forecast assumption</t>
  </si>
  <si>
    <t xml:space="preserve">Assumptions</t>
  </si>
  <si>
    <t xml:space="preserve">Only forecast columns are input-enabled; all are intentionally blank at hand-off.</t>
  </si>
  <si>
    <t xml:space="preserve">RMB mm unless stated</t>
  </si>
  <si>
    <t xml:space="preserve">2018A</t>
  </si>
  <si>
    <t xml:space="preserve">2019A</t>
  </si>
  <si>
    <t xml:space="preserve">2020A</t>
  </si>
  <si>
    <t xml:space="preserve">2021A</t>
  </si>
  <si>
    <t xml:space="preserve">2022A</t>
  </si>
  <si>
    <t xml:space="preserve">2023A</t>
  </si>
  <si>
    <t xml:space="preserve">2024A</t>
  </si>
  <si>
    <t xml:space="preserve">2025A</t>
  </si>
  <si>
    <t xml:space="preserve">2024Q1A</t>
  </si>
  <si>
    <t xml:space="preserve">2024Q2A</t>
  </si>
  <si>
    <t xml:space="preserve">2024Q3A</t>
  </si>
  <si>
    <t xml:space="preserve">2024Q4A</t>
  </si>
  <si>
    <t xml:space="preserve">2025Q1A</t>
  </si>
  <si>
    <t xml:space="preserve">2025Q2A</t>
  </si>
  <si>
    <t xml:space="preserve">2025Q3A</t>
  </si>
  <si>
    <t xml:space="preserve">2025Q4A</t>
  </si>
  <si>
    <t xml:space="preserve">2026Q1A</t>
  </si>
  <si>
    <t xml:space="preserve">2026E</t>
  </si>
  <si>
    <t xml:space="preserve">2027E</t>
  </si>
  <si>
    <t xml:space="preserve">2028E</t>
  </si>
  <si>
    <t xml:space="preserve">2026Q2A</t>
  </si>
  <si>
    <t xml:space="preserve">2026Q3E</t>
  </si>
  <si>
    <t xml:space="preserve">2026Q4E</t>
  </si>
  <si>
    <t xml:space="preserve">2027Q1E</t>
  </si>
  <si>
    <t xml:space="preserve">2027Q2E</t>
  </si>
  <si>
    <t xml:space="preserve">2027Q3E</t>
  </si>
  <si>
    <t xml:space="preserve">2027Q4E</t>
  </si>
  <si>
    <t xml:space="preserve">聚氨酯系列</t>
  </si>
  <si>
    <t xml:space="preserve">Volume growth</t>
  </si>
  <si>
    <t xml:space="preserve">Apparent ASP growth</t>
  </si>
  <si>
    <t xml:space="preserve">Raw-material share</t>
  </si>
  <si>
    <t xml:space="preserve">Non-raw cost inflation</t>
  </si>
  <si>
    <t xml:space="preserve">石化系列</t>
  </si>
  <si>
    <t xml:space="preserve">精细化学品及新材料系列</t>
  </si>
  <si>
    <t xml:space="preserve">Price assumptions</t>
  </si>
  <si>
    <t xml:space="preserve">Polymeric MDI market average (RMB/t; approx.)</t>
  </si>
  <si>
    <t xml:space="preserve">Pure benzene market average (RMB/t)</t>
  </si>
  <si>
    <t xml:space="preserve">Consolidated assumptions</t>
  </si>
  <si>
    <t xml:space="preserve">Other / eliminations revenue growth</t>
  </si>
  <si>
    <t xml:space="preserve">Net operating expense / revenue</t>
  </si>
  <si>
    <t xml:space="preserve">Operating profit to attributable NI conversion</t>
  </si>
  <si>
    <t xml:space="preserve">Capex / revenue</t>
  </si>
  <si>
    <t xml:space="preserve">Price Inputs</t>
  </si>
  <si>
    <t xml:space="preserve">Company-disclosed market averages; blanks preserve missing period disclosures.</t>
  </si>
  <si>
    <t xml:space="preserve">PMDI − 0.77 × benzene rough spread (RMB/t)</t>
  </si>
  <si>
    <t xml:space="preserve">Disclosure / formula boundary</t>
  </si>
  <si>
    <t xml:space="preserve">Company filing period average</t>
  </si>
  <si>
    <t xml:space="preserve">Forecast assumption passthrough</t>
  </si>
  <si>
    <t xml:space="preserve">Q2 period average not directly derivable from H1 and Q1 disclosed averages.</t>
  </si>
  <si>
    <t xml:space="preserve">Volume-Price</t>
  </si>
  <si>
    <t xml:space="preserve">Product-series revenue and volume from filings; apparent ASP uses revenue / disclosed volume.</t>
  </si>
  <si>
    <t xml:space="preserve">Disclosed sales volume (10kt; includes internal use)</t>
  </si>
  <si>
    <t xml:space="preserve">External sales volume (10kt; not disclosed)</t>
  </si>
  <si>
    <t xml:space="preserve">Reported product-series revenue</t>
  </si>
  <si>
    <t xml:space="preserve">Apparent ASP (RMB/t)</t>
  </si>
  <si>
    <t xml:space="preserve">Modelled revenue</t>
  </si>
  <si>
    <t xml:space="preserve">Cost Bridge</t>
  </si>
  <si>
    <t xml:space="preserve">Annual segment costs and raw-material shares are filing actuals; quarterly segment costs are intentionally blank.</t>
  </si>
  <si>
    <t xml:space="preserve">Disclosed sales volume (10kt)</t>
  </si>
  <si>
    <t xml:space="preserve">Reported product-series cost</t>
  </si>
  <si>
    <t xml:space="preserve">Unit cost proxy (RMB/t)</t>
  </si>
  <si>
    <t xml:space="preserve">Raw-material share of product-series cost</t>
  </si>
  <si>
    <t xml:space="preserve">Raw price index (2025A benzene = 1.00x)</t>
  </si>
  <si>
    <t xml:space="preserve">Non-raw cost index</t>
  </si>
  <si>
    <t xml:space="preserve">Forecast unit cost (RMB/t)</t>
  </si>
  <si>
    <t xml:space="preserve">Modelled product-series cost</t>
  </si>
  <si>
    <t xml:space="preserve">Segment P&amp;L</t>
  </si>
  <si>
    <t xml:space="preserve">Historical residuals reconcile disclosed product tables to consolidated statements; forecast residuals are formula-driven.</t>
  </si>
  <si>
    <t xml:space="preserve">Revenue</t>
  </si>
  <si>
    <t xml:space="preserve">Cost</t>
  </si>
  <si>
    <t xml:space="preserve">Gross profit</t>
  </si>
  <si>
    <t xml:space="preserve">Gross margin</t>
  </si>
  <si>
    <t xml:space="preserve">Other, eliminations and reconciliation</t>
  </si>
  <si>
    <t xml:space="preserve">Other / residual revenue — disclosed or modelled</t>
  </si>
  <si>
    <t xml:space="preserve">Other / residual cost — disclosed or modelled</t>
  </si>
  <si>
    <t xml:space="preserve">Eliminations revenue — disclosed</t>
  </si>
  <si>
    <t xml:space="preserve">Eliminations cost — disclosed</t>
  </si>
  <si>
    <t xml:space="preserve">Product-table subtotal — revenue</t>
  </si>
  <si>
    <t xml:space="preserve">Product-table subtotal — cost</t>
  </si>
  <si>
    <t xml:space="preserve">Boundary residual — revenue</t>
  </si>
  <si>
    <t xml:space="preserve">Boundary residual — cost</t>
  </si>
  <si>
    <t xml:space="preserve">Consolidated schedule revenue</t>
  </si>
  <si>
    <t xml:space="preserve">Consolidated schedule cost</t>
  </si>
  <si>
    <t xml:space="preserve">Consolidated schedule gross profit</t>
  </si>
  <si>
    <t xml:space="preserve">Consolidated schedule gross margin</t>
  </si>
  <si>
    <t xml:space="preserve">Consolidated P&amp;L</t>
  </si>
  <si>
    <t xml:space="preserve">Annual filing actuals and standalone quarterly filing actuals / arithmetic differences.</t>
  </si>
  <si>
    <t xml:space="preserve">Segment schedule revenue</t>
  </si>
  <si>
    <t xml:space="preserve">Consolidated revenue — filing actual / forecast</t>
  </si>
  <si>
    <t xml:space="preserve">Revenue bridge difference</t>
  </si>
  <si>
    <t xml:space="preserve">Segment schedule cost</t>
  </si>
  <si>
    <t xml:space="preserve">Consolidated cost of sales — filing actual / forecast</t>
  </si>
  <si>
    <t xml:space="preserve">Cost bridge difference</t>
  </si>
  <si>
    <t xml:space="preserve">Operating profit — filing actual / forecast</t>
  </si>
  <si>
    <t xml:space="preserve">Net operating expense / other bridge</t>
  </si>
  <si>
    <t xml:space="preserve">Attributable net income — filing actual / forecast</t>
  </si>
  <si>
    <t xml:space="preserve">Cash Flow</t>
  </si>
  <si>
    <t xml:space="preserve">Capex is cash paid to acquire/build fixed, intangible and other long-term assets.</t>
  </si>
  <si>
    <t xml:space="preserve">Operating cash flow (CFO)</t>
  </si>
  <si>
    <t xml:space="preserve">Capital expenditure — cash outflow</t>
  </si>
  <si>
    <t xml:space="preserve">Simplified free cash flow</t>
  </si>
  <si>
    <t xml:space="preserve">CFO / attributable net income</t>
  </si>
  <si>
    <t xml:space="preserve">Capex / consolidated revenue</t>
  </si>
  <si>
    <t xml:space="preserve">Spread Beta</t>
  </si>
  <si>
    <t xml:space="preserve">N&lt;8 comparable quarterly observations: proportional sensitivity only; no regression beta.</t>
  </si>
  <si>
    <t xml:space="preserve">Field</t>
  </si>
  <si>
    <t xml:space="preserve">Value</t>
  </si>
  <si>
    <t xml:space="preserve">Unit / interpretation</t>
  </si>
  <si>
    <t xml:space="preserve">Low</t>
  </si>
  <si>
    <t xml:space="preserve">Base</t>
  </si>
  <si>
    <t xml:space="preserve">High</t>
  </si>
  <si>
    <t xml:space="preserve">Source / note</t>
  </si>
  <si>
    <t xml:space="preserve">Status</t>
  </si>
  <si>
    <t xml:space="preserve">Selected method</t>
  </si>
  <si>
    <t xml:space="preserve">Proportional sensitivity</t>
  </si>
  <si>
    <t xml:space="preserve">text</t>
  </si>
  <si>
    <t xml:space="preserve">N&lt;8 quarterly observations; no regression.</t>
  </si>
  <si>
    <t xml:space="preserve">OK</t>
  </si>
  <si>
    <t xml:space="preserve">Comparable quarterly sample N</t>
  </si>
  <si>
    <t xml:space="preserve">quarters</t>
  </si>
  <si>
    <t xml:space="preserve">2024Q1/Q3, 2025Q1/Q3, 2026Q1 only.</t>
  </si>
  <si>
    <t xml:space="preserve">Regression eligibility</t>
  </si>
  <si>
    <t xml:space="preserve">No</t>
  </si>
  <si>
    <t xml:space="preserve">requires &gt;=8 quarters</t>
  </si>
  <si>
    <t xml:space="preserve">Gate enforced.</t>
  </si>
  <si>
    <t xml:space="preserve">Sensitivity factor</t>
  </si>
  <si>
    <t xml:space="preserve">benzene factor</t>
  </si>
  <si>
    <t xml:space="preserve">Model methodology assumption; not a filing fact.</t>
  </si>
  <si>
    <t xml:space="preserve">Historical data status</t>
  </si>
  <si>
    <t xml:space="preserve">Complete</t>
  </si>
  <si>
    <t xml:space="preserve">period coverage</t>
  </si>
  <si>
    <t xml:space="preserve">Quarterly segment costs intentionally blank.</t>
  </si>
  <si>
    <t xml:space="preserve">Sources</t>
  </si>
  <si>
    <t xml:space="preserve">One row per hardcoded model cell; disclosure gaps are explicit and use Cell="-".</t>
  </si>
  <si>
    <t xml:space="preserve">Sheet</t>
  </si>
  <si>
    <t xml:space="preserve">Cell</t>
  </si>
  <si>
    <t xml:space="preserve">Status type</t>
  </si>
  <si>
    <t xml:space="preserve">Period</t>
  </si>
  <si>
    <t xml:space="preserve">Source / document</t>
  </si>
  <si>
    <t xml:space="preserve">Document date</t>
  </si>
  <si>
    <t xml:space="preserve">Page / reference</t>
  </si>
  <si>
    <t xml:space="preserve">URL</t>
  </si>
  <si>
    <t xml:space="preserve">Unit</t>
  </si>
  <si>
    <t xml:space="preserve">Boundary / methodology note</t>
  </si>
  <si>
    <t xml:space="preserve">Verified?</t>
  </si>
  <si>
    <t xml:space="preserve">C6</t>
  </si>
  <si>
    <t xml:space="preserve">Pure benzene market average</t>
  </si>
  <si>
    <t xml:space="preserve">Filing actual</t>
  </si>
  <si>
    <r>
      <rPr>
        <sz val="11"/>
        <color rgb="FF000000"/>
        <rFont val="Arial"/>
        <family val="0"/>
        <charset val="1"/>
      </rPr>
      <t xml:space="preserve">2019</t>
    </r>
    <r>
      <rPr>
        <sz val="11"/>
        <color rgb="FF000000"/>
        <rFont val="Arial Unicode MS"/>
        <family val="2"/>
        <charset val="1"/>
      </rPr>
      <t xml:space="preserve">年主要经营数据公告</t>
    </r>
  </si>
  <si>
    <t xml:space="preserve">2020-03-30</t>
  </si>
  <si>
    <t xml:space="preserve">Operating-data announcement</t>
  </si>
  <si>
    <t xml:space="preserve">https://static.cninfo.com.cn/finalpage/2020-03-31/1207432751.PDF</t>
  </si>
  <si>
    <t xml:space="preserve">RMB/t</t>
  </si>
  <si>
    <t xml:space="preserve">Company-disclosed market average; not realized price.</t>
  </si>
  <si>
    <t xml:space="preserve">Yes</t>
  </si>
  <si>
    <t xml:space="preserve">D6</t>
  </si>
  <si>
    <t xml:space="preserve">万华化学2020年主要经营数据公告</t>
  </si>
  <si>
    <t xml:space="preserve">2021-03-15</t>
  </si>
  <si>
    <t xml:space="preserve">https://static.cninfo.com.cn/finalpage/2021-03-16/1209385163.PDF</t>
  </si>
  <si>
    <t xml:space="preserve">E6</t>
  </si>
  <si>
    <t xml:space="preserve">万华化学2021年主要经营数据公告</t>
  </si>
  <si>
    <t xml:space="preserve">2022-03-14</t>
  </si>
  <si>
    <t xml:space="preserve">https://static.cninfo.com.cn/finalpage/2022-03-15/1212567898.PDF</t>
  </si>
  <si>
    <t xml:space="preserve">F6</t>
  </si>
  <si>
    <t xml:space="preserve">万华化学2022年主要经营数据公告</t>
  </si>
  <si>
    <t xml:space="preserve">2023-03-20</t>
  </si>
  <si>
    <t xml:space="preserve">https://static.cninfo.com.cn/finalpage/2023-03-21/1216168751.PDF</t>
  </si>
  <si>
    <t xml:space="preserve">G5</t>
  </si>
  <si>
    <t xml:space="preserve">Polymeric MDI market average</t>
  </si>
  <si>
    <t xml:space="preserve">万华化学2023年主要经营数据公告</t>
  </si>
  <si>
    <t xml:space="preserve">2024-03-18</t>
  </si>
  <si>
    <t xml:space="preserve">https://static.cninfo.com.cn/finalpage/2024-03-19/1219331074.PDF</t>
  </si>
  <si>
    <t xml:space="preserve">G6</t>
  </si>
  <si>
    <t xml:space="preserve">H5</t>
  </si>
  <si>
    <t xml:space="preserve">万华化学2024年度主要经营数据公告</t>
  </si>
  <si>
    <t xml:space="preserve">2025-04-14</t>
  </si>
  <si>
    <t xml:space="preserve">https://static.cninfo.com.cn/finalpage/2025-04-15/1223097321.PDF</t>
  </si>
  <si>
    <t xml:space="preserve">H6</t>
  </si>
  <si>
    <t xml:space="preserve">I5</t>
  </si>
  <si>
    <t xml:space="preserve">万华化学2025年度主要经营数据公告</t>
  </si>
  <si>
    <t xml:space="preserve">2026-04-20</t>
  </si>
  <si>
    <t xml:space="preserve">https://static.cninfo.com.cn/finalpage/2026-04-21/1225130690.PDF</t>
  </si>
  <si>
    <t xml:space="preserve">I6</t>
  </si>
  <si>
    <t xml:space="preserve">J5</t>
  </si>
  <si>
    <t xml:space="preserve">万华化学2024年第一季度主要经营数据公告</t>
  </si>
  <si>
    <t xml:space="preserve">2024-04-18</t>
  </si>
  <si>
    <t xml:space="preserve">https://static.cninfo.com.cn/finalpage/2024-04-19/1219664107.PDF</t>
  </si>
  <si>
    <t xml:space="preserve">J6</t>
  </si>
  <si>
    <t xml:space="preserve">L5</t>
  </si>
  <si>
    <t xml:space="preserve">万华化学2024年三季度主要经营数据公告</t>
  </si>
  <si>
    <t xml:space="preserve">2024-10-28</t>
  </si>
  <si>
    <t xml:space="preserve">https://static.cninfo.com.cn/finalpage/2024-10-29/1221541141.PDF</t>
  </si>
  <si>
    <t xml:space="preserve">L6</t>
  </si>
  <si>
    <t xml:space="preserve">N5</t>
  </si>
  <si>
    <t xml:space="preserve">万华化学2025年第一季度主要经营数据公告</t>
  </si>
  <si>
    <t xml:space="preserve">https://static.cninfo.com.cn/finalpage/2025-04-15/1223097333.PDF</t>
  </si>
  <si>
    <t xml:space="preserve">N6</t>
  </si>
  <si>
    <t xml:space="preserve">P5</t>
  </si>
  <si>
    <t xml:space="preserve">万华化学2025年三季度主要经营数据公告</t>
  </si>
  <si>
    <t xml:space="preserve">2025-10-24</t>
  </si>
  <si>
    <t xml:space="preserve">https://static.cninfo.com.cn/finalpage/2025-10-25/1224733036.PDF</t>
  </si>
  <si>
    <t xml:space="preserve">P6</t>
  </si>
  <si>
    <t xml:space="preserve">R5</t>
  </si>
  <si>
    <t xml:space="preserve">万华化学2026年一季度主要经营数据公告</t>
  </si>
  <si>
    <t xml:space="preserve">https://static.cninfo.com.cn/finalpage/2026-04-21/1225130804.PDF</t>
  </si>
  <si>
    <t xml:space="preserve">R6</t>
  </si>
  <si>
    <t xml:space="preserve">B6</t>
  </si>
  <si>
    <t xml:space="preserve">聚氨酯系列 disclosed sales volume</t>
  </si>
  <si>
    <r>
      <rPr>
        <sz val="11"/>
        <color rgb="FF000000"/>
        <rFont val="Arial"/>
        <family val="0"/>
        <charset val="1"/>
      </rPr>
      <t xml:space="preserve">2018</t>
    </r>
    <r>
      <rPr>
        <sz val="11"/>
        <color rgb="FF000000"/>
        <rFont val="Arial Unicode MS"/>
        <family val="2"/>
        <charset val="1"/>
      </rPr>
      <t xml:space="preserve">年年度报告</t>
    </r>
  </si>
  <si>
    <t xml:space="preserve">2019-04-22</t>
  </si>
  <si>
    <t xml:space="preserve">Product-series volume table</t>
  </si>
  <si>
    <t xml:space="preserve">https://static.cninfo.com.cn/finalpage/2019-04-23/1206073832.PDF</t>
  </si>
  <si>
    <t xml:space="preserve">10kt</t>
  </si>
  <si>
    <t xml:space="preserve">Annual report product-series table; includes internal use and trade where applicable.</t>
  </si>
  <si>
    <t xml:space="preserve">B8</t>
  </si>
  <si>
    <t xml:space="preserve">聚氨酯系列 product-series revenue</t>
  </si>
  <si>
    <t xml:space="preserve">Product-series revenue disclosure</t>
  </si>
  <si>
    <r>
      <rPr>
        <sz val="11"/>
        <color rgb="FF000000"/>
        <rFont val="Arial"/>
        <family val="0"/>
        <charset val="1"/>
      </rPr>
      <t xml:space="preserve">2019</t>
    </r>
    <r>
      <rPr>
        <sz val="11"/>
        <color rgb="FF000000"/>
        <rFont val="Arial Unicode MS"/>
        <family val="2"/>
        <charset val="1"/>
      </rPr>
      <t xml:space="preserve">年年度报告</t>
    </r>
  </si>
  <si>
    <t xml:space="preserve">https://static.cninfo.com.cn/finalpage/2020-03-31/1207432775.PDF</t>
  </si>
  <si>
    <t xml:space="preserve">C8</t>
  </si>
  <si>
    <t xml:space="preserve">万华化学2020年度报告</t>
  </si>
  <si>
    <t xml:space="preserve">https://static.cninfo.com.cn/finalpage/2021-03-16/1209385146.PDF</t>
  </si>
  <si>
    <t xml:space="preserve">D8</t>
  </si>
  <si>
    <t xml:space="preserve">万华化学2021年度报告</t>
  </si>
  <si>
    <t xml:space="preserve">https://static.cninfo.com.cn/finalpage/2022-03-15/1212567907.PDF</t>
  </si>
  <si>
    <t xml:space="preserve">E8</t>
  </si>
  <si>
    <t xml:space="preserve">万华化学2022年年度报告</t>
  </si>
  <si>
    <t xml:space="preserve">https://static.cninfo.com.cn/finalpage/2023-03-21/1216168736.PDF</t>
  </si>
  <si>
    <t xml:space="preserve">F8</t>
  </si>
  <si>
    <t xml:space="preserve">万华化学2023年年度报告</t>
  </si>
  <si>
    <t xml:space="preserve">https://static.cninfo.com.cn/finalpage/2024-03-19/1219331064.PDF</t>
  </si>
  <si>
    <t xml:space="preserve">G8</t>
  </si>
  <si>
    <t xml:space="preserve">万华化学2024年年度报告</t>
  </si>
  <si>
    <t xml:space="preserve">https://static.cninfo.com.cn/finalpage/2025-04-15/1223097325.PDF</t>
  </si>
  <si>
    <t xml:space="preserve">H8</t>
  </si>
  <si>
    <t xml:space="preserve">万华化学2025年年度报告</t>
  </si>
  <si>
    <t xml:space="preserve">https://static.cninfo.com.cn/finalpage/2026-04-21/1225130793.PDF</t>
  </si>
  <si>
    <t xml:space="preserve">I8</t>
  </si>
  <si>
    <t xml:space="preserve">Standalone Q1 operating-data announcement.</t>
  </si>
  <si>
    <t xml:space="preserve">J8</t>
  </si>
  <si>
    <t xml:space="preserve">K6</t>
  </si>
  <si>
    <t xml:space="preserve">Derived filing actual</t>
  </si>
  <si>
    <t xml:space="preserve">万华化学2024年半年度主要经营数据公告 + 万华化学2024年第一季度主要经营数据公告</t>
  </si>
  <si>
    <t xml:space="preserve">2024-08-12 + 2024-04-18</t>
  </si>
  <si>
    <t xml:space="preserve">https://static.cninfo.com.cn/finalpage/2024-08-13/1220849781.PDF | https://static.cninfo.com.cn/finalpage/2024-04-19/1219664107.PDF</t>
  </si>
  <si>
    <t xml:space="preserve">Standalone Q2 = H1 cumulative less Q1; arithmetic difference, not an estimate.</t>
  </si>
  <si>
    <t xml:space="preserve">K8</t>
  </si>
  <si>
    <t xml:space="preserve">万华化学2024年三季度主要经营数据公告 + 万华化学2024年半年度主要经营数据公告</t>
  </si>
  <si>
    <t xml:space="preserve">2024-10-28 + 2024-08-12</t>
  </si>
  <si>
    <t xml:space="preserve">https://static.cninfo.com.cn/finalpage/2024-10-29/1221541141.PDF | https://static.cninfo.com.cn/finalpage/2024-08-13/1220849781.PDF</t>
  </si>
  <si>
    <t xml:space="preserve">Standalone Q3 = 9M cumulative less H1; arithmetic difference, not an estimate.</t>
  </si>
  <si>
    <t xml:space="preserve">L8</t>
  </si>
  <si>
    <t xml:space="preserve">M6</t>
  </si>
  <si>
    <t xml:space="preserve">万华化学2024年年度报告 + 万华化学2024年三季度主要经营数据公告</t>
  </si>
  <si>
    <t xml:space="preserve">2025-04-14 + 2024-10-28</t>
  </si>
  <si>
    <t xml:space="preserve">https://static.cninfo.com.cn/finalpage/2025-04-15/1223097325.PDF | https://static.cninfo.com.cn/finalpage/2024-10-29/1221541141.PDF</t>
  </si>
  <si>
    <t xml:space="preserve">Standalone Q4 = annual product-series total less 9M cumulative; arithmetic difference, not an estimate.</t>
  </si>
  <si>
    <t xml:space="preserve">M8</t>
  </si>
  <si>
    <t xml:space="preserve">N8</t>
  </si>
  <si>
    <t xml:space="preserve">O6</t>
  </si>
  <si>
    <t xml:space="preserve">万华化学2025年半年度主要经营数据公告 + 万华化学2025年第一季度主要经营数据公告</t>
  </si>
  <si>
    <t xml:space="preserve">2025-08-11 + 2025-04-14</t>
  </si>
  <si>
    <t xml:space="preserve">https://static.cninfo.com.cn/finalpage/2025-08-12/1224444518.PDF | https://static.cninfo.com.cn/finalpage/2025-04-15/1223097333.PDF</t>
  </si>
  <si>
    <t xml:space="preserve">O8</t>
  </si>
  <si>
    <t xml:space="preserve">万华化学2025年三季度主要经营数据公告 + 万华化学2025年半年度主要经营数据公告</t>
  </si>
  <si>
    <t xml:space="preserve">2025-10-24 + 2025-08-11</t>
  </si>
  <si>
    <t xml:space="preserve">https://static.cninfo.com.cn/finalpage/2025-10-25/1224733036.PDF | https://static.cninfo.com.cn/finalpage/2025-08-12/1224444518.PDF</t>
  </si>
  <si>
    <t xml:space="preserve">P8</t>
  </si>
  <si>
    <t xml:space="preserve">Q6</t>
  </si>
  <si>
    <t xml:space="preserve">万华化学2025年年度报告 + 万华化学2025年三季度主要经营数据公告</t>
  </si>
  <si>
    <t xml:space="preserve">2026-04-20 + 2025-10-24</t>
  </si>
  <si>
    <t xml:space="preserve">https://static.cninfo.com.cn/finalpage/2026-04-21/1225130793.PDF | https://static.cninfo.com.cn/finalpage/2025-10-25/1224733036.PDF</t>
  </si>
  <si>
    <t xml:space="preserve">Q8</t>
  </si>
  <si>
    <t xml:space="preserve">R8</t>
  </si>
  <si>
    <t xml:space="preserve">B16</t>
  </si>
  <si>
    <t xml:space="preserve">石化系列 disclosed sales volume</t>
  </si>
  <si>
    <t xml:space="preserve">B18</t>
  </si>
  <si>
    <t xml:space="preserve">石化系列 product-series revenue</t>
  </si>
  <si>
    <t xml:space="preserve">C16</t>
  </si>
  <si>
    <t xml:space="preserve">C18</t>
  </si>
  <si>
    <t xml:space="preserve">D16</t>
  </si>
  <si>
    <t xml:space="preserve">D18</t>
  </si>
  <si>
    <t xml:space="preserve">E16</t>
  </si>
  <si>
    <t xml:space="preserve">E18</t>
  </si>
  <si>
    <t xml:space="preserve">F16</t>
  </si>
  <si>
    <t xml:space="preserve">F18</t>
  </si>
  <si>
    <t xml:space="preserve">G16</t>
  </si>
  <si>
    <t xml:space="preserve">G18</t>
  </si>
  <si>
    <t xml:space="preserve">H16</t>
  </si>
  <si>
    <t xml:space="preserve">H18</t>
  </si>
  <si>
    <t xml:space="preserve">I16</t>
  </si>
  <si>
    <t xml:space="preserve">I18</t>
  </si>
  <si>
    <t xml:space="preserve">J16</t>
  </si>
  <si>
    <t xml:space="preserve">J18</t>
  </si>
  <si>
    <t xml:space="preserve">K16</t>
  </si>
  <si>
    <t xml:space="preserve">K18</t>
  </si>
  <si>
    <t xml:space="preserve">L16</t>
  </si>
  <si>
    <t xml:space="preserve">L18</t>
  </si>
  <si>
    <t xml:space="preserve">M16</t>
  </si>
  <si>
    <t xml:space="preserve">M18</t>
  </si>
  <si>
    <t xml:space="preserve">N16</t>
  </si>
  <si>
    <t xml:space="preserve">N18</t>
  </si>
  <si>
    <t xml:space="preserve">O16</t>
  </si>
  <si>
    <t xml:space="preserve">O18</t>
  </si>
  <si>
    <t xml:space="preserve">P16</t>
  </si>
  <si>
    <t xml:space="preserve">P18</t>
  </si>
  <si>
    <t xml:space="preserve">Q16</t>
  </si>
  <si>
    <t xml:space="preserve">Q18</t>
  </si>
  <si>
    <t xml:space="preserve">R16</t>
  </si>
  <si>
    <t xml:space="preserve">R18</t>
  </si>
  <si>
    <t xml:space="preserve">B26</t>
  </si>
  <si>
    <t xml:space="preserve">精细化学品及新材料系列 disclosed sales volume</t>
  </si>
  <si>
    <t xml:space="preserve">B28</t>
  </si>
  <si>
    <t xml:space="preserve">精细化学品及新材料系列 product-series revenue</t>
  </si>
  <si>
    <t xml:space="preserve">C26</t>
  </si>
  <si>
    <t xml:space="preserve">C28</t>
  </si>
  <si>
    <t xml:space="preserve">D26</t>
  </si>
  <si>
    <t xml:space="preserve">D28</t>
  </si>
  <si>
    <t xml:space="preserve">E26</t>
  </si>
  <si>
    <t xml:space="preserve">E28</t>
  </si>
  <si>
    <t xml:space="preserve">F26</t>
  </si>
  <si>
    <t xml:space="preserve">F28</t>
  </si>
  <si>
    <t xml:space="preserve">G26</t>
  </si>
  <si>
    <t xml:space="preserve">G28</t>
  </si>
  <si>
    <t xml:space="preserve">H26</t>
  </si>
  <si>
    <t xml:space="preserve">H28</t>
  </si>
  <si>
    <t xml:space="preserve">I26</t>
  </si>
  <si>
    <t xml:space="preserve">I28</t>
  </si>
  <si>
    <t xml:space="preserve">J26</t>
  </si>
  <si>
    <t xml:space="preserve">J28</t>
  </si>
  <si>
    <t xml:space="preserve">K26</t>
  </si>
  <si>
    <t xml:space="preserve">K28</t>
  </si>
  <si>
    <t xml:space="preserve">L26</t>
  </si>
  <si>
    <t xml:space="preserve">L28</t>
  </si>
  <si>
    <t xml:space="preserve">M26</t>
  </si>
  <si>
    <t xml:space="preserve">M28</t>
  </si>
  <si>
    <t xml:space="preserve">N26</t>
  </si>
  <si>
    <t xml:space="preserve">N28</t>
  </si>
  <si>
    <t xml:space="preserve">O26</t>
  </si>
  <si>
    <t xml:space="preserve">O28</t>
  </si>
  <si>
    <t xml:space="preserve">P26</t>
  </si>
  <si>
    <t xml:space="preserve">P28</t>
  </si>
  <si>
    <t xml:space="preserve">Q26</t>
  </si>
  <si>
    <t xml:space="preserve">Q28</t>
  </si>
  <si>
    <t xml:space="preserve">R26</t>
  </si>
  <si>
    <t xml:space="preserve">R28</t>
  </si>
  <si>
    <t xml:space="preserve">B7</t>
  </si>
  <si>
    <t xml:space="preserve">聚氨酯系列 product-series cost</t>
  </si>
  <si>
    <t xml:space="preserve">Annual product-series table</t>
  </si>
  <si>
    <t xml:space="preserve">Annual report product-series cost; includes internal-use cost.</t>
  </si>
  <si>
    <t xml:space="preserve">B9</t>
  </si>
  <si>
    <t xml:space="preserve">聚氨酯系列 raw-material cost share</t>
  </si>
  <si>
    <t xml:space="preserve">Annual cost-composition table</t>
  </si>
  <si>
    <t xml:space="preserve">% of product-series cost</t>
  </si>
  <si>
    <t xml:space="preserve">Accounting cost-composition share; not a physical recipe.</t>
  </si>
  <si>
    <t xml:space="preserve">C7</t>
  </si>
  <si>
    <t xml:space="preserve">C9</t>
  </si>
  <si>
    <t xml:space="preserve">D7</t>
  </si>
  <si>
    <t xml:space="preserve">D9</t>
  </si>
  <si>
    <t xml:space="preserve">E7</t>
  </si>
  <si>
    <t xml:space="preserve">E9</t>
  </si>
  <si>
    <t xml:space="preserve">F7</t>
  </si>
  <si>
    <t xml:space="preserve">F9</t>
  </si>
  <si>
    <t xml:space="preserve">G7</t>
  </si>
  <si>
    <t xml:space="preserve">G9</t>
  </si>
  <si>
    <t xml:space="preserve">H7</t>
  </si>
  <si>
    <t xml:space="preserve">H9</t>
  </si>
  <si>
    <t xml:space="preserve">I7</t>
  </si>
  <si>
    <t xml:space="preserve">I9</t>
  </si>
  <si>
    <t xml:space="preserve">石化系列 product-series cost</t>
  </si>
  <si>
    <t xml:space="preserve">B20</t>
  </si>
  <si>
    <t xml:space="preserve">石化系列 raw-material cost share</t>
  </si>
  <si>
    <t xml:space="preserve">C20</t>
  </si>
  <si>
    <t xml:space="preserve">D20</t>
  </si>
  <si>
    <t xml:space="preserve">E20</t>
  </si>
  <si>
    <t xml:space="preserve">F20</t>
  </si>
  <si>
    <t xml:space="preserve">G20</t>
  </si>
  <si>
    <t xml:space="preserve">H20</t>
  </si>
  <si>
    <t xml:space="preserve">I20</t>
  </si>
  <si>
    <t xml:space="preserve">B29</t>
  </si>
  <si>
    <t xml:space="preserve">精细化学品及新材料系列 product-series cost</t>
  </si>
  <si>
    <t xml:space="preserve">B31</t>
  </si>
  <si>
    <t xml:space="preserve">精细化学品及新材料系列 raw-material cost share</t>
  </si>
  <si>
    <t xml:space="preserve">C29</t>
  </si>
  <si>
    <t xml:space="preserve">C31</t>
  </si>
  <si>
    <t xml:space="preserve">D29</t>
  </si>
  <si>
    <t xml:space="preserve">D31</t>
  </si>
  <si>
    <t xml:space="preserve">E29</t>
  </si>
  <si>
    <t xml:space="preserve">E31</t>
  </si>
  <si>
    <t xml:space="preserve">F29</t>
  </si>
  <si>
    <t xml:space="preserve">F31</t>
  </si>
  <si>
    <t xml:space="preserve">G29</t>
  </si>
  <si>
    <t xml:space="preserve">G31</t>
  </si>
  <si>
    <t xml:space="preserve">H29</t>
  </si>
  <si>
    <t xml:space="preserve">H31</t>
  </si>
  <si>
    <t xml:space="preserve">I29</t>
  </si>
  <si>
    <t xml:space="preserve">I31</t>
  </si>
  <si>
    <t xml:space="preserve">B24</t>
  </si>
  <si>
    <t xml:space="preserve">Other revenue</t>
  </si>
  <si>
    <t xml:space="preserve">Disclosed annual product-table line.</t>
  </si>
  <si>
    <t xml:space="preserve">B25</t>
  </si>
  <si>
    <t xml:space="preserve">Other cost</t>
  </si>
  <si>
    <t xml:space="preserve">C24</t>
  </si>
  <si>
    <t xml:space="preserve">C25</t>
  </si>
  <si>
    <t xml:space="preserve">D24</t>
  </si>
  <si>
    <t xml:space="preserve">D25</t>
  </si>
  <si>
    <t xml:space="preserve">E24</t>
  </si>
  <si>
    <t xml:space="preserve">E25</t>
  </si>
  <si>
    <t xml:space="preserve">Eliminations revenue</t>
  </si>
  <si>
    <t xml:space="preserve">E27</t>
  </si>
  <si>
    <t xml:space="preserve">Eliminations cost</t>
  </si>
  <si>
    <t xml:space="preserve">F24</t>
  </si>
  <si>
    <t xml:space="preserve">F25</t>
  </si>
  <si>
    <t xml:space="preserve">F27</t>
  </si>
  <si>
    <t xml:space="preserve">G24</t>
  </si>
  <si>
    <t xml:space="preserve">G25</t>
  </si>
  <si>
    <t xml:space="preserve">G27</t>
  </si>
  <si>
    <t xml:space="preserve">H24</t>
  </si>
  <si>
    <t xml:space="preserve">H25</t>
  </si>
  <si>
    <t xml:space="preserve">H27</t>
  </si>
  <si>
    <t xml:space="preserve">I24</t>
  </si>
  <si>
    <t xml:space="preserve">I25</t>
  </si>
  <si>
    <t xml:space="preserve">I27</t>
  </si>
  <si>
    <t xml:space="preserve">Consol P&amp;L</t>
  </si>
  <si>
    <t xml:space="preserve">Consolidated revenue</t>
  </si>
  <si>
    <t xml:space="preserve">Consolidated statements</t>
  </si>
  <si>
    <t xml:space="preserve">Annual consolidated financial statements.</t>
  </si>
  <si>
    <t xml:space="preserve">Consolidated cost of sales</t>
  </si>
  <si>
    <t xml:space="preserve">B13</t>
  </si>
  <si>
    <t xml:space="preserve">Operating profit</t>
  </si>
  <si>
    <t xml:space="preserve">Attributable net income</t>
  </si>
  <si>
    <t xml:space="preserve">C13</t>
  </si>
  <si>
    <t xml:space="preserve">D13</t>
  </si>
  <si>
    <t xml:space="preserve">E13</t>
  </si>
  <si>
    <t xml:space="preserve">F13</t>
  </si>
  <si>
    <t xml:space="preserve">G13</t>
  </si>
  <si>
    <t xml:space="preserve">H13</t>
  </si>
  <si>
    <t xml:space="preserve">I13</t>
  </si>
  <si>
    <t xml:space="preserve">万华化学2024年第一季度报告</t>
  </si>
  <si>
    <t xml:space="preserve">https://static.cninfo.com.cn/finalpage/2024-04-19/1219664111.PDF</t>
  </si>
  <si>
    <t xml:space="preserve">Standalone Q1 consolidated financial statements.</t>
  </si>
  <si>
    <t xml:space="preserve">J9</t>
  </si>
  <si>
    <t xml:space="preserve">J13</t>
  </si>
  <si>
    <t xml:space="preserve">万华化学2024年半年度报告 + 万华化学2024年第一季度报告</t>
  </si>
  <si>
    <t xml:space="preserve">https://static.cninfo.com.cn/finalpage/2024-08-13/1220849778.PDF | https://static.cninfo.com.cn/finalpage/2024-04-19/1219664111.PDF</t>
  </si>
  <si>
    <t xml:space="preserve">K9</t>
  </si>
  <si>
    <t xml:space="preserve">K13</t>
  </si>
  <si>
    <t xml:space="preserve">万华化学2024年三季度报告 + 万华化学2024年半年度报告</t>
  </si>
  <si>
    <t xml:space="preserve">https://static.cninfo.com.cn/finalpage/2024-10-29/1221541140.PDF | https://static.cninfo.com.cn/finalpage/2024-08-13/1220849778.PDF</t>
  </si>
  <si>
    <t xml:space="preserve">L9</t>
  </si>
  <si>
    <t xml:space="preserve">L13</t>
  </si>
  <si>
    <t xml:space="preserve">万华化学2024年年度报告 + 万华化学2024年三季度报告</t>
  </si>
  <si>
    <t xml:space="preserve">https://static.cninfo.com.cn/finalpage/2025-04-15/1223097325.PDF | https://static.cninfo.com.cn/finalpage/2024-10-29/1221541140.PDF</t>
  </si>
  <si>
    <t xml:space="preserve">Standalone Q4 = annual less 9M cumulative; arithmetic difference, not an estimate.</t>
  </si>
  <si>
    <t xml:space="preserve">M9</t>
  </si>
  <si>
    <t xml:space="preserve">M13</t>
  </si>
  <si>
    <t xml:space="preserve">万华化学2025年一季度报告</t>
  </si>
  <si>
    <t xml:space="preserve">https://static.cninfo.com.cn/finalpage/2025-04-15/1223097314.PDF</t>
  </si>
  <si>
    <t xml:space="preserve">N9</t>
  </si>
  <si>
    <t xml:space="preserve">N13</t>
  </si>
  <si>
    <t xml:space="preserve">万华化学2025年半年度报告 + 万华化学2025年一季度报告</t>
  </si>
  <si>
    <t xml:space="preserve">https://static.cninfo.com.cn/finalpage/2025-08-12/1224444522.PDF | https://static.cninfo.com.cn/finalpage/2025-04-15/1223097314.PDF</t>
  </si>
  <si>
    <t xml:space="preserve">O9</t>
  </si>
  <si>
    <t xml:space="preserve">O13</t>
  </si>
  <si>
    <t xml:space="preserve">万华化学2025年三季度报告 + 万华化学2025年半年度报告</t>
  </si>
  <si>
    <t xml:space="preserve">https://static.cninfo.com.cn/finalpage/2025-10-25/1224733028.PDF | https://static.cninfo.com.cn/finalpage/2025-08-12/1224444522.PDF</t>
  </si>
  <si>
    <t xml:space="preserve">P9</t>
  </si>
  <si>
    <t xml:space="preserve">P13</t>
  </si>
  <si>
    <t xml:space="preserve">万华化学2025年年度报告 + 万华化学2025年三季度报告</t>
  </si>
  <si>
    <t xml:space="preserve">https://static.cninfo.com.cn/finalpage/2026-04-21/1225130793.PDF | https://static.cninfo.com.cn/finalpage/2025-10-25/1224733028.PDF</t>
  </si>
  <si>
    <t xml:space="preserve">Q9</t>
  </si>
  <si>
    <t xml:space="preserve">Q13</t>
  </si>
  <si>
    <t xml:space="preserve">万华化学2026年一季度报告</t>
  </si>
  <si>
    <t xml:space="preserve">https://static.cninfo.com.cn/finalpage/2026-04-21/1225130687.PDF</t>
  </si>
  <si>
    <t xml:space="preserve">R9</t>
  </si>
  <si>
    <t xml:space="preserve">R13</t>
  </si>
  <si>
    <t xml:space="preserve">B5</t>
  </si>
  <si>
    <t xml:space="preserve">Operating cash flow</t>
  </si>
  <si>
    <t xml:space="preserve">Consolidated cash-flow statements</t>
  </si>
  <si>
    <t xml:space="preserve">Annual consolidated cash-flow statement.</t>
  </si>
  <si>
    <t xml:space="preserve">Cash paid for fixed/intangible/other long-term assets</t>
  </si>
  <si>
    <t xml:space="preserve">C5</t>
  </si>
  <si>
    <t xml:space="preserve">D5</t>
  </si>
  <si>
    <t xml:space="preserve">E5</t>
  </si>
  <si>
    <t xml:space="preserve">F5</t>
  </si>
  <si>
    <t xml:space="preserve">Standalone Q1 consolidated cash-flow statement.</t>
  </si>
  <si>
    <t xml:space="preserve">K5</t>
  </si>
  <si>
    <t xml:space="preserve">M5</t>
  </si>
  <si>
    <t xml:space="preserve">O5</t>
  </si>
  <si>
    <t xml:space="preserve">Q5</t>
  </si>
  <si>
    <t xml:space="preserve">PMDI—benzene rough-spread factor</t>
  </si>
  <si>
    <t xml:space="preserve">All periods</t>
  </si>
  <si>
    <t xml:space="preserve">Methodology assumption</t>
  </si>
  <si>
    <t xml:space="preserve">Model methodology assumption</t>
  </si>
  <si>
    <t xml:space="preserve">2026-07-27</t>
  </si>
  <si>
    <t xml:space="preserve">Spread methodology</t>
  </si>
  <si>
    <t xml:space="preserve">N/A</t>
  </si>
  <si>
    <t xml:space="preserve">x</t>
  </si>
  <si>
    <t xml:space="preserve">Sensitivity factor carried from the documented simple-model methodology; not an observed fact.</t>
  </si>
  <si>
    <t xml:space="preserve">-</t>
  </si>
  <si>
    <t xml:space="preserve">Polymeric MDI annual market average</t>
  </si>
  <si>
    <t xml:space="preserve">Disclosure gap</t>
  </si>
  <si>
    <r>
      <rPr>
        <sz val="11"/>
        <color rgb="FF000000"/>
        <rFont val="Arial"/>
        <family val="0"/>
        <charset val="1"/>
      </rPr>
      <t xml:space="preserve">2018</t>
    </r>
    <r>
      <rPr>
        <sz val="11"/>
        <color rgb="FF000000"/>
        <rFont val="Arial Unicode MS"/>
        <family val="2"/>
        <charset val="1"/>
      </rPr>
      <t xml:space="preserve">年主要经营数据公告</t>
    </r>
  </si>
  <si>
    <t xml:space="preserve">Disclosure boundary</t>
  </si>
  <si>
    <t xml:space="preserve">https://static.cninfo.com.cn/finalpage/2019-04-23/1206073836.PDF</t>
  </si>
  <si>
    <t xml:space="preserve">No single annual PMDI average disclosed; monthly quotations are not averaged by the model.</t>
  </si>
  <si>
    <t xml:space="preserve">Yes — blank is intentional</t>
  </si>
  <si>
    <t xml:space="preserve">Pure benzene annual market average</t>
  </si>
  <si>
    <t xml:space="preserve">No single annual benzene average disclosed; left blank.</t>
  </si>
  <si>
    <t xml:space="preserve">Standalone quarterly PMDI / benzene market average</t>
  </si>
  <si>
    <t xml:space="preserve">万华化学2024年半年度主要经营数据公告</t>
  </si>
  <si>
    <t xml:space="preserve">2024-08-12</t>
  </si>
  <si>
    <t xml:space="preserve">https://static.cninfo.com.cn/finalpage/2024-08-13/1220849781.PDF</t>
  </si>
  <si>
    <t xml:space="preserve">Standalone Q2/Q4 average is not explicitly disclosed; no inferred average is used.</t>
  </si>
  <si>
    <t xml:space="preserve">万华化学2025年半年度主要经营数据公告</t>
  </si>
  <si>
    <t xml:space="preserve">2025-08-11</t>
  </si>
  <si>
    <t xml:space="preserve">https://static.cninfo.com.cn/finalpage/2025-08-12/1224444518.PDF</t>
  </si>
  <si>
    <t xml:space="preserve">聚氨酯系列 quarterly product-series cost / raw share</t>
  </si>
  <si>
    <t xml:space="preserve">Quarterly report / operating-data announcement</t>
  </si>
  <si>
    <t xml:space="preserve">See period Sources URLs</t>
  </si>
  <si>
    <t xml:space="preserve">Quarterly segment cost and cost composition are not disclosed; left blank and no allocation is forced.</t>
  </si>
  <si>
    <t xml:space="preserve">石化系列 quarterly product-series cost / raw share</t>
  </si>
  <si>
    <t xml:space="preserve">精细化学品及新材料系列 quarterly product-series cost / raw share</t>
  </si>
  <si>
    <t xml:space="preserve">No separate eliminations line disclosed in the annual product table; boundary residual formula preserves reconciliation.</t>
  </si>
  <si>
    <t xml:space="preserve">V6</t>
  </si>
  <si>
    <t xml:space="preserve">Formula / derived</t>
  </si>
  <si>
    <t xml:space="preserve">2026H1与2026Q1主要经营数据公告</t>
  </si>
  <si>
    <t xml:space="preserve">H1 report less Q1 report</t>
  </si>
  <si>
    <t xml:space="preserve">https://static.cninfo.com.cn/finalpage/2026-08-25/1225497206.PDF ; https://static.cninfo.com.cn/finalpage/2026-04-21/1225130804.PDF</t>
  </si>
  <si>
    <t xml:space="preserve">H1 cumulative minus Q1; volume includes internal use; revenue includes trade/internal-use where disclosed.</t>
  </si>
  <si>
    <t xml:space="preserve">V8</t>
  </si>
  <si>
    <t xml:space="preserve">V16</t>
  </si>
  <si>
    <t xml:space="preserve">V18</t>
  </si>
  <si>
    <t xml:space="preserve">V26</t>
  </si>
  <si>
    <t xml:space="preserve">V28</t>
  </si>
  <si>
    <t xml:space="preserve">2026H1报告与2026Q1报告</t>
  </si>
  <si>
    <t xml:space="preserve">https://static.cninfo.com.cn/finalpage/2026-08-25/1225497561.PDF ; https://static.cninfo.com.cn/finalpage/2026-04-21/1225130687.PDF</t>
  </si>
  <si>
    <t xml:space="preserve">H1 cumulative filing actual less Q1 filing actual; arithmetic difference, not an estimate.</t>
  </si>
  <si>
    <t xml:space="preserve">V9</t>
  </si>
  <si>
    <t xml:space="preserve">V13</t>
  </si>
  <si>
    <t xml:space="preserve">V5</t>
  </si>
  <si>
    <t xml:space="preserve">Checks</t>
  </si>
  <si>
    <t xml:space="preserve">All checks must be OK after LibreOffice recalculation.</t>
  </si>
  <si>
    <t xml:space="preserve">Check</t>
  </si>
  <si>
    <t xml:space="preserve">Value / difference</t>
  </si>
  <si>
    <t xml:space="preserve">Tolerance</t>
  </si>
  <si>
    <t xml:space="preserve">Notes</t>
  </si>
  <si>
    <t xml:space="preserve">Last run</t>
  </si>
  <si>
    <t xml:space="preserve">Exact period header standard</t>
  </si>
  <si>
    <t xml:space="preserve">27 period columns; 2026Q2 actual inserted, quarterly forecasts now 2026Q3E–2027Q4E.</t>
  </si>
  <si>
    <t xml:space="preserve">2018A Revenue bridge</t>
  </si>
  <si>
    <t xml:space="preserve">RMB mm; product schedule plus boundary residual must reconcile.</t>
  </si>
  <si>
    <t xml:space="preserve">2018A Cost bridge</t>
  </si>
  <si>
    <t xml:space="preserve">2019A Revenue bridge</t>
  </si>
  <si>
    <t xml:space="preserve">2019A Cost bridge</t>
  </si>
  <si>
    <t xml:space="preserve">2020A Revenue bridge</t>
  </si>
  <si>
    <t xml:space="preserve">2020A Cost bridge</t>
  </si>
  <si>
    <t xml:space="preserve">2021A Revenue bridge</t>
  </si>
  <si>
    <t xml:space="preserve">2021A Cost bridge</t>
  </si>
  <si>
    <t xml:space="preserve">2022A Revenue bridge</t>
  </si>
  <si>
    <t xml:space="preserve">2022A Cost bridge</t>
  </si>
  <si>
    <t xml:space="preserve">2023A Revenue bridge</t>
  </si>
  <si>
    <t xml:space="preserve">2023A Cost bridge</t>
  </si>
  <si>
    <t xml:space="preserve">2024A Revenue bridge</t>
  </si>
  <si>
    <t xml:space="preserve">2024A Cost bridge</t>
  </si>
  <si>
    <t xml:space="preserve">2025A Revenue bridge</t>
  </si>
  <si>
    <t xml:space="preserve">2025A Cost bridge</t>
  </si>
  <si>
    <t xml:space="preserve">2024Q1A Revenue bridge</t>
  </si>
  <si>
    <t xml:space="preserve">2024Q1A Cost bridge</t>
  </si>
  <si>
    <t xml:space="preserve">2024Q2A Revenue bridge</t>
  </si>
  <si>
    <t xml:space="preserve">2024Q2A Cost bridge</t>
  </si>
  <si>
    <t xml:space="preserve">2024Q3A Revenue bridge</t>
  </si>
  <si>
    <t xml:space="preserve">2024Q3A Cost bridge</t>
  </si>
  <si>
    <t xml:space="preserve">2024Q4A Revenue bridge</t>
  </si>
  <si>
    <t xml:space="preserve">2024Q4A Cost bridge</t>
  </si>
  <si>
    <t xml:space="preserve">2025Q1A Revenue bridge</t>
  </si>
  <si>
    <t xml:space="preserve">2025Q1A Cost bridge</t>
  </si>
  <si>
    <t xml:space="preserve">2025Q2A Revenue bridge</t>
  </si>
  <si>
    <t xml:space="preserve">2025Q2A Cost bridge</t>
  </si>
  <si>
    <t xml:space="preserve">2025Q3A Revenue bridge</t>
  </si>
  <si>
    <t xml:space="preserve">2025Q3A Cost bridge</t>
  </si>
  <si>
    <t xml:space="preserve">2025Q4A Revenue bridge</t>
  </si>
  <si>
    <t xml:space="preserve">2025Q4A Cost bridge</t>
  </si>
  <si>
    <t xml:space="preserve">2026Q1A Revenue bridge</t>
  </si>
  <si>
    <t xml:space="preserve">2026Q1A Cost bridge</t>
  </si>
  <si>
    <t xml:space="preserve">Hardcoded-cell source coverage</t>
  </si>
  <si>
    <t xml:space="preserve">Exactly one Sources row and one cell comment per hardcoded model cell.</t>
  </si>
  <si>
    <t xml:space="preserve">Quarterly segment cost disclosure</t>
  </si>
  <si>
    <t xml:space="preserve">Not disclosed</t>
  </si>
  <si>
    <t xml:space="preserve">Quarterly product-series cost and raw-material shares are blank by design; no allocation is forced.</t>
  </si>
  <si>
    <t xml:space="preserve">Spread method gate</t>
  </si>
  <si>
    <t xml:space="preserve">N&lt;8 comparable quarterly observations.</t>
  </si>
  <si>
    <t xml:space="preserve">Blank forecast assumptions gate — consolidated revenue</t>
  </si>
  <si>
    <t xml:space="preserve">When all forecast assumptions are blank, annual forecasts and 2026Q3E–2027Q4E revenue cells remain blank; 2026Q2A is excluded.</t>
  </si>
  <si>
    <t xml:space="preserve">LibreOffice formula scan</t>
  </si>
  <si>
    <t xml:space="preserve">Headless recalculation and full-workbook scan: 0 formula errors across 1,908 formulas.</t>
  </si>
  <si>
    <t xml:space="preserve">2026-08-24 20:33 EDT | LibreOffice headless</t>
  </si>
  <si>
    <t xml:space="preserve">2026Q2A Revenue bridge</t>
  </si>
  <si>
    <t xml:space="preserve">2026Q2A Cost bridge</t>
  </si>
  <si>
    <t xml:space="preserve">RMB mm; quarterly segment costs undisclosed; boundary residual reconciles to consolidated actual.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</si>
</sst>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;\(#,##0\);\-"/>
    <numFmt numFmtId="167" formatCode="#,##0.0;\(#,##0.0\);\-"/>
    <numFmt numFmtId="168" formatCode="0.00\x"/>
  </numFmts>
  <fonts count="19">
    <font>
      <sz val="11"/>
      <color theme="1"/>
      <name val="Arial Unicode M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 Unicode MS"/>
      <family val="2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0000FF"/>
      <name val="Arial Unicode MS"/>
      <family val="2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 Unicode MS"/>
      <family val="2"/>
      <charset val="1"/>
    </font>
    <font>
      <sz val="10"/>
      <name val="Arial"/>
      <family val="2"/>
    </font>
    <font>
      <sz val="10"/>
      <name val="Arial Unicode MS"/>
      <family val="2"/>
    </font>
    <font>
      <sz val="11"/>
      <color rgb="FF000000"/>
      <name val="Arial Unicode M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1F4E78"/>
        <bgColor rgb="FF17365D"/>
      </patternFill>
    </fill>
    <fill>
      <patternFill patternType="solid">
        <fgColor rgb="FF806000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29.11"/>
    <col collapsed="false" customWidth="true" hidden="false" outlineLevel="0" max="2" min="2" style="1" width="47.31"/>
    <col collapsed="false" customWidth="true" hidden="false" outlineLevel="0" max="28" min="3" style="1" width="11.83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customFormat="false" ht="15" hidden="false" customHeight="true" outlineLevel="0" collapsed="false">
      <c r="A5" s="5" t="s">
        <v>3</v>
      </c>
      <c r="B5" s="6" t="s">
        <v>4</v>
      </c>
    </row>
    <row r="6" customFormat="false" ht="15" hidden="false" customHeight="true" outlineLevel="0" collapsed="false">
      <c r="A6" s="5" t="s">
        <v>5</v>
      </c>
      <c r="B6" s="7" t="s">
        <v>6</v>
      </c>
    </row>
    <row r="7" customFormat="false" ht="15" hidden="false" customHeight="true" outlineLevel="0" collapsed="false">
      <c r="A7" s="5" t="s">
        <v>7</v>
      </c>
      <c r="B7" s="7" t="s">
        <v>8</v>
      </c>
    </row>
    <row r="8" customFormat="false" ht="15" hidden="false" customHeight="true" outlineLevel="0" collapsed="false">
      <c r="A8" s="5" t="s">
        <v>9</v>
      </c>
      <c r="B8" s="7" t="s">
        <v>10</v>
      </c>
    </row>
    <row r="9" customFormat="false" ht="15" hidden="false" customHeight="true" outlineLevel="0" collapsed="false">
      <c r="A9" s="5" t="s">
        <v>11</v>
      </c>
      <c r="B9" s="7" t="s">
        <v>12</v>
      </c>
    </row>
    <row r="10" customFormat="false" ht="15" hidden="false" customHeight="true" outlineLevel="0" collapsed="false">
      <c r="A10" s="5" t="s">
        <v>13</v>
      </c>
      <c r="B10" s="7" t="s">
        <v>14</v>
      </c>
    </row>
    <row r="11" customFormat="false" ht="15" hidden="false" customHeight="true" outlineLevel="0" collapsed="false">
      <c r="A11" s="5" t="s">
        <v>15</v>
      </c>
      <c r="B11" s="7" t="s">
        <v>16</v>
      </c>
    </row>
    <row r="12" customFormat="false" ht="15" hidden="false" customHeight="true" outlineLevel="0" collapsed="false">
      <c r="A12" s="5" t="s">
        <v>17</v>
      </c>
      <c r="B12" s="8" t="s">
        <v>18</v>
      </c>
    </row>
    <row r="13" customFormat="false" ht="15" hidden="false" customHeight="true" outlineLevel="0" collapsed="false">
      <c r="A13" s="5" t="s">
        <v>19</v>
      </c>
      <c r="B13" s="8" t="s">
        <v>20</v>
      </c>
    </row>
    <row r="15" customFormat="false" ht="15" hidden="false" customHeight="true" outlineLevel="0" collapsed="false">
      <c r="A15" s="4" t="s">
        <v>21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customFormat="false" ht="15" hidden="false" customHeight="true" outlineLevel="0" collapsed="false">
      <c r="A16" s="9" t="s">
        <v>22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customFormat="false" ht="15" hidden="false" customHeight="true" outlineLevel="0" collapsed="false">
      <c r="A17" s="9" t="s">
        <v>23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customFormat="false" ht="15" hidden="false" customHeight="true" outlineLevel="0" collapsed="false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customFormat="false" ht="15" hidden="false" customHeight="true" outlineLevel="0" collapsed="false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customFormat="false" ht="15" hidden="false" customHeight="true" outlineLevel="0" collapsed="false">
      <c r="A20" s="9" t="s">
        <v>26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2" customFormat="false" ht="15" hidden="false" customHeight="true" outlineLevel="0" collapsed="false">
      <c r="A22" s="4" t="s">
        <v>27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customFormat="false" ht="15" hidden="false" customHeight="true" outlineLevel="0" collapsed="false">
      <c r="A23" s="5" t="s">
        <v>28</v>
      </c>
      <c r="B23" s="7" t="s">
        <v>29</v>
      </c>
    </row>
    <row r="24" customFormat="false" ht="15" hidden="false" customHeight="true" outlineLevel="0" collapsed="false">
      <c r="A24" s="5" t="s">
        <v>30</v>
      </c>
      <c r="B24" s="8" t="s">
        <v>29</v>
      </c>
    </row>
    <row r="25" customFormat="false" ht="15" hidden="false" customHeight="true" outlineLevel="0" collapsed="false">
      <c r="A25" s="5" t="s">
        <v>31</v>
      </c>
      <c r="B25" s="10" t="s">
        <v>29</v>
      </c>
    </row>
    <row r="26" customFormat="false" ht="15" hidden="false" customHeight="true" outlineLevel="0" collapsed="false">
      <c r="A26" s="5" t="s">
        <v>32</v>
      </c>
      <c r="B26" s="11" t="s">
        <v>29</v>
      </c>
    </row>
    <row r="27" customFormat="false" ht="15" hidden="false" customHeight="true" outlineLevel="0" collapsed="false">
      <c r="A27" s="5" t="s">
        <v>33</v>
      </c>
      <c r="B27" s="12" t="s">
        <v>29</v>
      </c>
    </row>
  </sheetData>
  <mergeCells count="10">
    <mergeCell ref="A1:AB1"/>
    <mergeCell ref="A2:AB2"/>
    <mergeCell ref="A4:AB4"/>
    <mergeCell ref="A15:AB15"/>
    <mergeCell ref="A16:AB16"/>
    <mergeCell ref="A17:AB17"/>
    <mergeCell ref="A18:AB18"/>
    <mergeCell ref="A19:AB19"/>
    <mergeCell ref="A20:AB20"/>
    <mergeCell ref="A22:A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42.76"/>
    <col collapsed="false" customWidth="true" hidden="false" outlineLevel="0" max="28" min="2" style="1" width="11.83"/>
  </cols>
  <sheetData>
    <row r="1" customFormat="false" ht="18" hidden="false" customHeight="true" outlineLevel="0" collapsed="false">
      <c r="A1" s="13" t="s">
        <v>34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customFormat="false" ht="15" hidden="false" customHeight="true" outlineLevel="0" collapsed="false">
      <c r="A2" s="3" t="s">
        <v>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4" customFormat="false" ht="15" hidden="false" customHeight="true" outlineLevel="0" collapsed="false">
      <c r="A4" s="14" t="s">
        <v>36</v>
      </c>
      <c r="B4" s="14" t="s">
        <v>37</v>
      </c>
      <c r="C4" s="14" t="s">
        <v>38</v>
      </c>
      <c r="D4" s="14" t="s">
        <v>39</v>
      </c>
      <c r="E4" s="14" t="s">
        <v>40</v>
      </c>
      <c r="F4" s="14" t="s">
        <v>41</v>
      </c>
      <c r="G4" s="14" t="s">
        <v>42</v>
      </c>
      <c r="H4" s="14" t="s">
        <v>43</v>
      </c>
      <c r="I4" s="14" t="s">
        <v>44</v>
      </c>
      <c r="J4" s="15" t="s">
        <v>45</v>
      </c>
      <c r="K4" s="15" t="s">
        <v>46</v>
      </c>
      <c r="L4" s="15" t="s">
        <v>47</v>
      </c>
      <c r="M4" s="15" t="s">
        <v>48</v>
      </c>
      <c r="N4" s="15" t="s">
        <v>49</v>
      </c>
      <c r="O4" s="15" t="s">
        <v>50</v>
      </c>
      <c r="P4" s="15" t="s">
        <v>51</v>
      </c>
      <c r="Q4" s="15" t="s">
        <v>52</v>
      </c>
      <c r="R4" s="15" t="s">
        <v>53</v>
      </c>
      <c r="S4" s="16" t="s">
        <v>54</v>
      </c>
      <c r="T4" s="16" t="s">
        <v>55</v>
      </c>
      <c r="U4" s="16" t="s">
        <v>56</v>
      </c>
      <c r="V4" s="15" t="s">
        <v>57</v>
      </c>
      <c r="W4" s="16" t="s">
        <v>58</v>
      </c>
      <c r="X4" s="16" t="s">
        <v>59</v>
      </c>
      <c r="Y4" s="16" t="s">
        <v>60</v>
      </c>
      <c r="Z4" s="16" t="s">
        <v>61</v>
      </c>
      <c r="AA4" s="16" t="s">
        <v>62</v>
      </c>
      <c r="AB4" s="16" t="s">
        <v>63</v>
      </c>
    </row>
    <row r="5" customFormat="false" ht="15" hidden="false" customHeight="true" outlineLevel="0" collapsed="false">
      <c r="A5" s="17" t="s">
        <v>64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customFormat="false" ht="15" hidden="false" customHeight="true" outlineLevel="0" collapsed="false">
      <c r="A6" s="18" t="s">
        <v>65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20"/>
      <c r="T6" s="20"/>
      <c r="U6" s="20"/>
      <c r="V6" s="19"/>
      <c r="W6" s="20"/>
      <c r="X6" s="20"/>
      <c r="Y6" s="20"/>
      <c r="Z6" s="20"/>
      <c r="AA6" s="20"/>
      <c r="AB6" s="20"/>
    </row>
    <row r="7" customFormat="false" ht="15" hidden="false" customHeight="true" outlineLevel="0" collapsed="false">
      <c r="A7" s="18" t="s">
        <v>66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20"/>
      <c r="T7" s="20"/>
      <c r="U7" s="20"/>
      <c r="V7" s="19"/>
      <c r="W7" s="20"/>
      <c r="X7" s="20"/>
      <c r="Y7" s="20"/>
      <c r="Z7" s="20"/>
      <c r="AA7" s="20"/>
      <c r="AB7" s="20"/>
    </row>
    <row r="8" customFormat="false" ht="15" hidden="false" customHeight="true" outlineLevel="0" collapsed="false">
      <c r="A8" s="18" t="s">
        <v>67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20"/>
      <c r="T8" s="20"/>
      <c r="U8" s="20"/>
      <c r="V8" s="19"/>
      <c r="W8" s="20"/>
      <c r="X8" s="20"/>
      <c r="Y8" s="20"/>
      <c r="Z8" s="20"/>
      <c r="AA8" s="20"/>
      <c r="AB8" s="20"/>
    </row>
    <row r="9" customFormat="false" ht="15" hidden="false" customHeight="true" outlineLevel="0" collapsed="false">
      <c r="A9" s="18" t="s">
        <v>68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20"/>
      <c r="T9" s="20"/>
      <c r="U9" s="20"/>
      <c r="V9" s="19"/>
      <c r="W9" s="20"/>
      <c r="X9" s="20"/>
      <c r="Y9" s="20"/>
      <c r="Z9" s="20"/>
      <c r="AA9" s="20"/>
      <c r="AB9" s="20"/>
    </row>
    <row r="10" customFormat="false" ht="15" hidden="false" customHeight="true" outlineLevel="0" collapsed="false">
      <c r="A10" s="21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customFormat="false" ht="15" hidden="false" customHeight="true" outlineLevel="0" collapsed="false">
      <c r="A11" s="17" t="s">
        <v>69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customFormat="false" ht="15" hidden="false" customHeight="true" outlineLevel="0" collapsed="false">
      <c r="A12" s="18" t="s">
        <v>65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20"/>
      <c r="T12" s="20"/>
      <c r="U12" s="20"/>
      <c r="V12" s="19"/>
      <c r="W12" s="20"/>
      <c r="X12" s="20"/>
      <c r="Y12" s="20"/>
      <c r="Z12" s="20"/>
      <c r="AA12" s="20"/>
      <c r="AB12" s="20"/>
    </row>
    <row r="13" customFormat="false" ht="15" hidden="false" customHeight="true" outlineLevel="0" collapsed="false">
      <c r="A13" s="18" t="s">
        <v>66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20"/>
      <c r="T13" s="20"/>
      <c r="U13" s="20"/>
      <c r="V13" s="19"/>
      <c r="W13" s="20"/>
      <c r="X13" s="20"/>
      <c r="Y13" s="20"/>
      <c r="Z13" s="20"/>
      <c r="AA13" s="20"/>
      <c r="AB13" s="20"/>
    </row>
    <row r="14" customFormat="false" ht="15" hidden="false" customHeight="true" outlineLevel="0" collapsed="false">
      <c r="A14" s="18" t="s">
        <v>67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20"/>
      <c r="T14" s="20"/>
      <c r="U14" s="20"/>
      <c r="V14" s="19"/>
      <c r="W14" s="20"/>
      <c r="X14" s="20"/>
      <c r="Y14" s="20"/>
      <c r="Z14" s="20"/>
      <c r="AA14" s="20"/>
      <c r="AB14" s="20"/>
    </row>
    <row r="15" customFormat="false" ht="15" hidden="false" customHeight="true" outlineLevel="0" collapsed="false">
      <c r="A15" s="18" t="s">
        <v>68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20"/>
      <c r="T15" s="20"/>
      <c r="U15" s="20"/>
      <c r="V15" s="19"/>
      <c r="W15" s="20"/>
      <c r="X15" s="20"/>
      <c r="Y15" s="20"/>
      <c r="Z15" s="20"/>
      <c r="AA15" s="20"/>
      <c r="AB15" s="20"/>
    </row>
    <row r="16" customFormat="false" ht="15" hidden="false" customHeight="true" outlineLevel="0" collapsed="false">
      <c r="A16" s="2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customFormat="false" ht="15" hidden="false" customHeight="true" outlineLevel="0" collapsed="false">
      <c r="A17" s="17" t="s">
        <v>70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customFormat="false" ht="15" hidden="false" customHeight="true" outlineLevel="0" collapsed="false">
      <c r="A18" s="18" t="s">
        <v>65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20"/>
      <c r="T18" s="20"/>
      <c r="U18" s="20"/>
      <c r="V18" s="19"/>
      <c r="W18" s="20"/>
      <c r="X18" s="20"/>
      <c r="Y18" s="20"/>
      <c r="Z18" s="20"/>
      <c r="AA18" s="20"/>
      <c r="AB18" s="20"/>
    </row>
    <row r="19" customFormat="false" ht="15" hidden="false" customHeight="true" outlineLevel="0" collapsed="false">
      <c r="A19" s="18" t="s">
        <v>66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20"/>
      <c r="T19" s="20"/>
      <c r="U19" s="20"/>
      <c r="V19" s="19"/>
      <c r="W19" s="20"/>
      <c r="X19" s="20"/>
      <c r="Y19" s="20"/>
      <c r="Z19" s="20"/>
      <c r="AA19" s="20"/>
      <c r="AB19" s="20"/>
    </row>
    <row r="20" customFormat="false" ht="15" hidden="false" customHeight="true" outlineLevel="0" collapsed="false">
      <c r="A20" s="18" t="s">
        <v>67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20"/>
      <c r="T20" s="20"/>
      <c r="U20" s="20"/>
      <c r="V20" s="19"/>
      <c r="W20" s="20"/>
      <c r="X20" s="20"/>
      <c r="Y20" s="20"/>
      <c r="Z20" s="20"/>
      <c r="AA20" s="20"/>
      <c r="AB20" s="20"/>
    </row>
    <row r="21" customFormat="false" ht="15" hidden="false" customHeight="true" outlineLevel="0" collapsed="false">
      <c r="A21" s="18" t="s">
        <v>68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20"/>
      <c r="T21" s="20"/>
      <c r="U21" s="20"/>
      <c r="V21" s="19"/>
      <c r="W21" s="20"/>
      <c r="X21" s="20"/>
      <c r="Y21" s="20"/>
      <c r="Z21" s="20"/>
      <c r="AA21" s="20"/>
      <c r="AB21" s="20"/>
    </row>
    <row r="22" customFormat="false" ht="15" hidden="false" customHeight="true" outlineLevel="0" collapsed="false">
      <c r="A22" s="21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 customFormat="false" ht="15" hidden="false" customHeight="true" outlineLevel="0" collapsed="false">
      <c r="A23" s="22" t="s">
        <v>71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customFormat="false" ht="15" hidden="false" customHeight="true" outlineLevel="0" collapsed="false">
      <c r="A24" s="18" t="s">
        <v>72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23"/>
      <c r="T24" s="23"/>
      <c r="U24" s="23"/>
      <c r="V24" s="19"/>
      <c r="W24" s="23"/>
      <c r="X24" s="23"/>
      <c r="Y24" s="23"/>
      <c r="Z24" s="23"/>
      <c r="AA24" s="23"/>
      <c r="AB24" s="23"/>
    </row>
    <row r="25" customFormat="false" ht="15" hidden="false" customHeight="true" outlineLevel="0" collapsed="false">
      <c r="A25" s="18" t="s">
        <v>73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23"/>
      <c r="T25" s="23"/>
      <c r="U25" s="23"/>
      <c r="V25" s="19"/>
      <c r="W25" s="23"/>
      <c r="X25" s="23"/>
      <c r="Y25" s="23"/>
      <c r="Z25" s="23"/>
      <c r="AA25" s="23"/>
      <c r="AB25" s="23"/>
    </row>
    <row r="26" customFormat="false" ht="15" hidden="false" customHeight="true" outlineLevel="0" collapsed="false">
      <c r="A26" s="21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customFormat="false" ht="15" hidden="false" customHeight="true" outlineLevel="0" collapsed="false">
      <c r="A27" s="22" t="s">
        <v>74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customFormat="false" ht="15" hidden="false" customHeight="true" outlineLevel="0" collapsed="false">
      <c r="A28" s="18" t="s">
        <v>75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20"/>
      <c r="T28" s="20"/>
      <c r="U28" s="20"/>
      <c r="V28" s="19"/>
      <c r="W28" s="20"/>
      <c r="X28" s="20"/>
      <c r="Y28" s="20"/>
      <c r="Z28" s="20"/>
      <c r="AA28" s="20"/>
      <c r="AB28" s="20"/>
    </row>
    <row r="29" customFormat="false" ht="15" hidden="false" customHeight="true" outlineLevel="0" collapsed="false">
      <c r="A29" s="18" t="s">
        <v>76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20"/>
      <c r="T29" s="20"/>
      <c r="U29" s="20"/>
      <c r="V29" s="19"/>
      <c r="W29" s="20"/>
      <c r="X29" s="20"/>
      <c r="Y29" s="20"/>
      <c r="Z29" s="20"/>
      <c r="AA29" s="20"/>
      <c r="AB29" s="20"/>
    </row>
    <row r="30" customFormat="false" ht="15" hidden="false" customHeight="true" outlineLevel="0" collapsed="false">
      <c r="A30" s="18" t="s">
        <v>77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20"/>
      <c r="T30" s="20"/>
      <c r="U30" s="20"/>
      <c r="V30" s="19"/>
      <c r="W30" s="20"/>
      <c r="X30" s="20"/>
      <c r="Y30" s="20"/>
      <c r="Z30" s="20"/>
      <c r="AA30" s="20"/>
      <c r="AB30" s="20"/>
    </row>
    <row r="31" customFormat="false" ht="15" hidden="false" customHeight="true" outlineLevel="0" collapsed="false">
      <c r="A31" s="18" t="s">
        <v>78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20"/>
      <c r="T31" s="20"/>
      <c r="U31" s="20"/>
      <c r="V31" s="19"/>
      <c r="W31" s="20"/>
      <c r="X31" s="20"/>
      <c r="Y31" s="20"/>
      <c r="Z31" s="20"/>
      <c r="AA31" s="20"/>
      <c r="AB31" s="20"/>
    </row>
  </sheetData>
  <mergeCells count="7">
    <mergeCell ref="A1:AB1"/>
    <mergeCell ref="A2:AB2"/>
    <mergeCell ref="A5:AB5"/>
    <mergeCell ref="A11:AB11"/>
    <mergeCell ref="A17:AB17"/>
    <mergeCell ref="A23:AB23"/>
    <mergeCell ref="A27:AB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45.49"/>
    <col collapsed="false" customWidth="true" hidden="false" outlineLevel="0" max="28" min="2" style="1" width="11.83"/>
  </cols>
  <sheetData>
    <row r="1" customFormat="false" ht="18" hidden="false" customHeight="true" outlineLevel="0" collapsed="false">
      <c r="A1" s="13" t="s">
        <v>79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customFormat="false" ht="15" hidden="false" customHeight="true" outlineLevel="0" collapsed="false">
      <c r="A2" s="3" t="s">
        <v>80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4" customFormat="false" ht="15" hidden="false" customHeight="true" outlineLevel="0" collapsed="false">
      <c r="A4" s="14" t="s">
        <v>36</v>
      </c>
      <c r="B4" s="14" t="s">
        <v>37</v>
      </c>
      <c r="C4" s="14" t="s">
        <v>38</v>
      </c>
      <c r="D4" s="14" t="s">
        <v>39</v>
      </c>
      <c r="E4" s="14" t="s">
        <v>40</v>
      </c>
      <c r="F4" s="14" t="s">
        <v>41</v>
      </c>
      <c r="G4" s="14" t="s">
        <v>42</v>
      </c>
      <c r="H4" s="14" t="s">
        <v>43</v>
      </c>
      <c r="I4" s="14" t="s">
        <v>44</v>
      </c>
      <c r="J4" s="15" t="s">
        <v>45</v>
      </c>
      <c r="K4" s="15" t="s">
        <v>46</v>
      </c>
      <c r="L4" s="15" t="s">
        <v>47</v>
      </c>
      <c r="M4" s="15" t="s">
        <v>48</v>
      </c>
      <c r="N4" s="15" t="s">
        <v>49</v>
      </c>
      <c r="O4" s="15" t="s">
        <v>50</v>
      </c>
      <c r="P4" s="15" t="s">
        <v>51</v>
      </c>
      <c r="Q4" s="15" t="s">
        <v>52</v>
      </c>
      <c r="R4" s="15" t="s">
        <v>53</v>
      </c>
      <c r="S4" s="16" t="s">
        <v>54</v>
      </c>
      <c r="T4" s="16" t="s">
        <v>55</v>
      </c>
      <c r="U4" s="16" t="s">
        <v>56</v>
      </c>
      <c r="V4" s="15" t="s">
        <v>57</v>
      </c>
      <c r="W4" s="16" t="s">
        <v>58</v>
      </c>
      <c r="X4" s="16" t="s">
        <v>59</v>
      </c>
      <c r="Y4" s="16" t="s">
        <v>60</v>
      </c>
      <c r="Z4" s="16" t="s">
        <v>61</v>
      </c>
      <c r="AA4" s="16" t="s">
        <v>62</v>
      </c>
      <c r="AB4" s="16" t="s">
        <v>63</v>
      </c>
    </row>
    <row r="5" customFormat="false" ht="15" hidden="false" customHeight="true" outlineLevel="0" collapsed="false">
      <c r="A5" s="18" t="s">
        <v>72</v>
      </c>
      <c r="B5" s="19"/>
      <c r="C5" s="19"/>
      <c r="D5" s="19"/>
      <c r="E5" s="19"/>
      <c r="F5" s="19"/>
      <c r="G5" s="24" t="n">
        <v>16000</v>
      </c>
      <c r="H5" s="24" t="n">
        <v>17000</v>
      </c>
      <c r="I5" s="24" t="n">
        <v>16200</v>
      </c>
      <c r="J5" s="24" t="n">
        <v>17000</v>
      </c>
      <c r="K5" s="19"/>
      <c r="L5" s="24" t="n">
        <v>17800</v>
      </c>
      <c r="M5" s="19"/>
      <c r="N5" s="24" t="n">
        <v>17000</v>
      </c>
      <c r="O5" s="19"/>
      <c r="P5" s="24" t="n">
        <v>15200</v>
      </c>
      <c r="Q5" s="19"/>
      <c r="R5" s="24" t="n">
        <v>15500</v>
      </c>
      <c r="S5" s="25" t="str">
        <f aca="false">IF(Assumptions!S24="","",Assumptions!S24)</f>
        <v/>
      </c>
      <c r="T5" s="25" t="str">
        <f aca="false">IF(Assumptions!T24="","",Assumptions!T24)</f>
        <v/>
      </c>
      <c r="U5" s="25" t="str">
        <f aca="false">IF(Assumptions!U24="","",Assumptions!U24)</f>
        <v/>
      </c>
      <c r="V5" s="24"/>
      <c r="W5" s="25" t="str">
        <f aca="false">IF(Assumptions!W24="","",Assumptions!W24)</f>
        <v/>
      </c>
      <c r="X5" s="25" t="str">
        <f aca="false">IF(Assumptions!X24="","",Assumptions!X24)</f>
        <v/>
      </c>
      <c r="Y5" s="25" t="str">
        <f aca="false">IF(Assumptions!Y24="","",Assumptions!Y24)</f>
        <v/>
      </c>
      <c r="Z5" s="25" t="str">
        <f aca="false">IF(Assumptions!Z24="","",Assumptions!Z24)</f>
        <v/>
      </c>
      <c r="AA5" s="25" t="str">
        <f aca="false">IF(Assumptions!AA24="","",Assumptions!AA24)</f>
        <v/>
      </c>
      <c r="AB5" s="25" t="str">
        <f aca="false">IF(Assumptions!AB24="","",Assumptions!AB24)</f>
        <v/>
      </c>
    </row>
    <row r="6" customFormat="false" ht="15" hidden="false" customHeight="true" outlineLevel="0" collapsed="false">
      <c r="A6" s="18" t="s">
        <v>73</v>
      </c>
      <c r="B6" s="19"/>
      <c r="C6" s="24" t="n">
        <v>5025.66</v>
      </c>
      <c r="D6" s="24" t="n">
        <v>3929</v>
      </c>
      <c r="E6" s="24" t="n">
        <v>7109</v>
      </c>
      <c r="F6" s="24" t="n">
        <v>8125</v>
      </c>
      <c r="G6" s="24" t="n">
        <v>7250</v>
      </c>
      <c r="H6" s="24" t="n">
        <v>8300</v>
      </c>
      <c r="I6" s="24" t="n">
        <v>6254</v>
      </c>
      <c r="J6" s="24" t="n">
        <v>8241</v>
      </c>
      <c r="K6" s="19"/>
      <c r="L6" s="24" t="n">
        <v>8442</v>
      </c>
      <c r="M6" s="19"/>
      <c r="N6" s="24" t="n">
        <v>7438</v>
      </c>
      <c r="O6" s="19"/>
      <c r="P6" s="24" t="n">
        <v>5905</v>
      </c>
      <c r="Q6" s="19"/>
      <c r="R6" s="24" t="n">
        <v>6416</v>
      </c>
      <c r="S6" s="25" t="str">
        <f aca="false">IF(Assumptions!S25="","",Assumptions!S25)</f>
        <v/>
      </c>
      <c r="T6" s="25" t="str">
        <f aca="false">IF(Assumptions!T25="","",Assumptions!T25)</f>
        <v/>
      </c>
      <c r="U6" s="25" t="str">
        <f aca="false">IF(Assumptions!U25="","",Assumptions!U25)</f>
        <v/>
      </c>
      <c r="V6" s="24"/>
      <c r="W6" s="25" t="str">
        <f aca="false">IF(Assumptions!W25="","",Assumptions!W25)</f>
        <v/>
      </c>
      <c r="X6" s="25" t="str">
        <f aca="false">IF(Assumptions!X25="","",Assumptions!X25)</f>
        <v/>
      </c>
      <c r="Y6" s="25" t="str">
        <f aca="false">IF(Assumptions!Y25="","",Assumptions!Y25)</f>
        <v/>
      </c>
      <c r="Z6" s="25" t="str">
        <f aca="false">IF(Assumptions!Z25="","",Assumptions!Z25)</f>
        <v/>
      </c>
      <c r="AA6" s="25" t="str">
        <f aca="false">IF(Assumptions!AA25="","",Assumptions!AA25)</f>
        <v/>
      </c>
      <c r="AB6" s="25" t="str">
        <f aca="false">IF(Assumptions!AB25="","",Assumptions!AB25)</f>
        <v/>
      </c>
    </row>
    <row r="7" customFormat="false" ht="15" hidden="false" customHeight="true" outlineLevel="0" collapsed="false">
      <c r="A7" s="18" t="s">
        <v>81</v>
      </c>
      <c r="B7" s="26" t="str">
        <f aca="false">IF(OR(B5="",B6=""),"",B5-0.77*B6)</f>
        <v/>
      </c>
      <c r="C7" s="26" t="str">
        <f aca="false">IF(OR(C5="",C6=""),"",C5-0.77*C6)</f>
        <v/>
      </c>
      <c r="D7" s="26" t="str">
        <f aca="false">IF(OR(D5="",D6=""),"",D5-0.77*D6)</f>
        <v/>
      </c>
      <c r="E7" s="26" t="str">
        <f aca="false">IF(OR(E5="",E6=""),"",E5-0.77*E6)</f>
        <v/>
      </c>
      <c r="F7" s="26" t="str">
        <f aca="false">IF(OR(F5="",F6=""),"",F5-0.77*F6)</f>
        <v/>
      </c>
      <c r="G7" s="26" t="n">
        <f aca="false">IF(OR(G5="",G6=""),"",G5-0.77*G6)</f>
        <v>10417.5</v>
      </c>
      <c r="H7" s="26" t="n">
        <f aca="false">IF(OR(H5="",H6=""),"",H5-0.77*H6)</f>
        <v>10609</v>
      </c>
      <c r="I7" s="26" t="n">
        <f aca="false">IF(OR(I5="",I6=""),"",I5-0.77*I6)</f>
        <v>11384.42</v>
      </c>
      <c r="J7" s="26" t="n">
        <f aca="false">IF(OR(J5="",J6=""),"",J5-0.77*J6)</f>
        <v>10654.43</v>
      </c>
      <c r="K7" s="26" t="str">
        <f aca="false">IF(OR(K5="",K6=""),"",K5-0.77*K6)</f>
        <v/>
      </c>
      <c r="L7" s="26" t="n">
        <f aca="false">IF(OR(L5="",L6=""),"",L5-0.77*L6)</f>
        <v>11299.66</v>
      </c>
      <c r="M7" s="26" t="str">
        <f aca="false">IF(OR(M5="",M6=""),"",M5-0.77*M6)</f>
        <v/>
      </c>
      <c r="N7" s="26" t="n">
        <f aca="false">IF(OR(N5="",N6=""),"",N5-0.77*N6)</f>
        <v>11272.74</v>
      </c>
      <c r="O7" s="26" t="str">
        <f aca="false">IF(OR(O5="",O6=""),"",O5-0.77*O6)</f>
        <v/>
      </c>
      <c r="P7" s="26" t="n">
        <f aca="false">IF(OR(P5="",P6=""),"",P5-0.77*P6)</f>
        <v>10653.15</v>
      </c>
      <c r="Q7" s="26" t="str">
        <f aca="false">IF(OR(Q5="",Q6=""),"",Q5-0.77*Q6)</f>
        <v/>
      </c>
      <c r="R7" s="26" t="n">
        <f aca="false">IF(OR(R5="",R6=""),"",R5-0.77*R6)</f>
        <v>10559.68</v>
      </c>
      <c r="S7" s="26" t="str">
        <f aca="false">IF(OR(S5="",S6=""),"",S5-0.77*S6)</f>
        <v/>
      </c>
      <c r="T7" s="26" t="str">
        <f aca="false">IF(OR(T5="",T6=""),"",T5-0.77*T6)</f>
        <v/>
      </c>
      <c r="U7" s="26" t="str">
        <f aca="false">IF(OR(U5="",U6=""),"",U5-0.77*U6)</f>
        <v/>
      </c>
      <c r="V7" s="26" t="str">
        <f aca="false">IF(OR(V5="",V6=""),"",V5-0.77*V6)</f>
        <v/>
      </c>
      <c r="W7" s="26" t="str">
        <f aca="false">IF(OR(W5="",W6=""),"",W5-0.77*W6)</f>
        <v/>
      </c>
      <c r="X7" s="26" t="str">
        <f aca="false">IF(OR(X5="",X6=""),"",X5-0.77*X6)</f>
        <v/>
      </c>
      <c r="Y7" s="26" t="str">
        <f aca="false">IF(OR(Y5="",Y6=""),"",Y5-0.77*Y6)</f>
        <v/>
      </c>
      <c r="Z7" s="26" t="str">
        <f aca="false">IF(OR(Z5="",Z6=""),"",Z5-0.77*Z6)</f>
        <v/>
      </c>
      <c r="AA7" s="26" t="str">
        <f aca="false">IF(OR(AA5="",AA6=""),"",AA5-0.77*AA6)</f>
        <v/>
      </c>
      <c r="AB7" s="26" t="str">
        <f aca="false">IF(OR(AB5="",AB6=""),"",AB5-0.77*AB6)</f>
        <v/>
      </c>
    </row>
    <row r="8" customFormat="false" ht="15" hidden="false" customHeight="true" outlineLevel="0" collapsed="false">
      <c r="A8" s="18" t="s">
        <v>82</v>
      </c>
      <c r="B8" s="27" t="s">
        <v>83</v>
      </c>
      <c r="C8" s="27" t="s">
        <v>83</v>
      </c>
      <c r="D8" s="27" t="s">
        <v>83</v>
      </c>
      <c r="E8" s="27" t="s">
        <v>83</v>
      </c>
      <c r="F8" s="27" t="s">
        <v>83</v>
      </c>
      <c r="G8" s="27" t="s">
        <v>83</v>
      </c>
      <c r="H8" s="27" t="s">
        <v>83</v>
      </c>
      <c r="I8" s="27" t="s">
        <v>83</v>
      </c>
      <c r="J8" s="27" t="s">
        <v>83</v>
      </c>
      <c r="K8" s="27" t="s">
        <v>83</v>
      </c>
      <c r="L8" s="27" t="s">
        <v>83</v>
      </c>
      <c r="M8" s="27" t="s">
        <v>83</v>
      </c>
      <c r="N8" s="27" t="s">
        <v>83</v>
      </c>
      <c r="O8" s="27" t="s">
        <v>83</v>
      </c>
      <c r="P8" s="27" t="s">
        <v>83</v>
      </c>
      <c r="Q8" s="27" t="s">
        <v>83</v>
      </c>
      <c r="R8" s="27" t="s">
        <v>83</v>
      </c>
      <c r="S8" s="28" t="s">
        <v>84</v>
      </c>
      <c r="T8" s="28" t="s">
        <v>84</v>
      </c>
      <c r="U8" s="28" t="s">
        <v>84</v>
      </c>
      <c r="V8" s="27" t="s">
        <v>85</v>
      </c>
      <c r="W8" s="28" t="s">
        <v>84</v>
      </c>
      <c r="X8" s="28" t="s">
        <v>84</v>
      </c>
      <c r="Y8" s="28" t="s">
        <v>84</v>
      </c>
      <c r="Z8" s="28" t="s">
        <v>84</v>
      </c>
      <c r="AA8" s="28" t="s">
        <v>84</v>
      </c>
      <c r="AB8" s="28" t="s">
        <v>84</v>
      </c>
    </row>
  </sheetData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50.04"/>
    <col collapsed="false" customWidth="true" hidden="false" outlineLevel="0" max="28" min="2" style="1" width="11.83"/>
  </cols>
  <sheetData>
    <row r="1" customFormat="false" ht="18" hidden="false" customHeight="true" outlineLevel="0" collapsed="false">
      <c r="A1" s="13" t="s">
        <v>86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customFormat="false" ht="15" hidden="false" customHeight="true" outlineLevel="0" collapsed="false">
      <c r="A2" s="3" t="s">
        <v>87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4" customFormat="false" ht="15" hidden="false" customHeight="true" outlineLevel="0" collapsed="false">
      <c r="A4" s="14" t="s">
        <v>36</v>
      </c>
      <c r="B4" s="14" t="s">
        <v>37</v>
      </c>
      <c r="C4" s="14" t="s">
        <v>38</v>
      </c>
      <c r="D4" s="14" t="s">
        <v>39</v>
      </c>
      <c r="E4" s="14" t="s">
        <v>40</v>
      </c>
      <c r="F4" s="14" t="s">
        <v>41</v>
      </c>
      <c r="G4" s="14" t="s">
        <v>42</v>
      </c>
      <c r="H4" s="14" t="s">
        <v>43</v>
      </c>
      <c r="I4" s="14" t="s">
        <v>44</v>
      </c>
      <c r="J4" s="15" t="s">
        <v>45</v>
      </c>
      <c r="K4" s="15" t="s">
        <v>46</v>
      </c>
      <c r="L4" s="15" t="s">
        <v>47</v>
      </c>
      <c r="M4" s="15" t="s">
        <v>48</v>
      </c>
      <c r="N4" s="15" t="s">
        <v>49</v>
      </c>
      <c r="O4" s="15" t="s">
        <v>50</v>
      </c>
      <c r="P4" s="15" t="s">
        <v>51</v>
      </c>
      <c r="Q4" s="15" t="s">
        <v>52</v>
      </c>
      <c r="R4" s="15" t="s">
        <v>53</v>
      </c>
      <c r="S4" s="16" t="s">
        <v>54</v>
      </c>
      <c r="T4" s="16" t="s">
        <v>55</v>
      </c>
      <c r="U4" s="16" t="s">
        <v>56</v>
      </c>
      <c r="V4" s="15" t="s">
        <v>57</v>
      </c>
      <c r="W4" s="16" t="s">
        <v>58</v>
      </c>
      <c r="X4" s="16" t="s">
        <v>59</v>
      </c>
      <c r="Y4" s="16" t="s">
        <v>60</v>
      </c>
      <c r="Z4" s="16" t="s">
        <v>61</v>
      </c>
      <c r="AA4" s="16" t="s">
        <v>62</v>
      </c>
      <c r="AB4" s="16" t="s">
        <v>63</v>
      </c>
    </row>
    <row r="5" customFormat="false" ht="15" hidden="false" customHeight="true" outlineLevel="0" collapsed="false">
      <c r="A5" s="17" t="s">
        <v>64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customFormat="false" ht="15" hidden="false" customHeight="true" outlineLevel="0" collapsed="false">
      <c r="A6" s="18" t="s">
        <v>88</v>
      </c>
      <c r="B6" s="29" t="n">
        <v>188.7114</v>
      </c>
      <c r="C6" s="29" t="n">
        <v>261.9603</v>
      </c>
      <c r="D6" s="29" t="n">
        <v>288.4384</v>
      </c>
      <c r="E6" s="29" t="n">
        <v>389</v>
      </c>
      <c r="F6" s="29" t="n">
        <v>418</v>
      </c>
      <c r="G6" s="29" t="n">
        <v>489</v>
      </c>
      <c r="H6" s="29" t="n">
        <v>564</v>
      </c>
      <c r="I6" s="29" t="n">
        <v>631</v>
      </c>
      <c r="J6" s="29" t="n">
        <v>131</v>
      </c>
      <c r="K6" s="29" t="n">
        <v>138</v>
      </c>
      <c r="L6" s="29" t="n">
        <v>141</v>
      </c>
      <c r="M6" s="29" t="n">
        <v>154</v>
      </c>
      <c r="N6" s="29" t="n">
        <v>145</v>
      </c>
      <c r="O6" s="29" t="n">
        <v>158</v>
      </c>
      <c r="P6" s="29" t="n">
        <v>155</v>
      </c>
      <c r="Q6" s="29" t="n">
        <v>173</v>
      </c>
      <c r="R6" s="29" t="n">
        <v>165</v>
      </c>
      <c r="S6" s="30" t="str">
        <f aca="false">IF(OR(I6="",S10=""),"",I6*(1+S10))</f>
        <v/>
      </c>
      <c r="T6" s="30" t="str">
        <f aca="false">IF(OR(S6="",T10=""),"",S6*(1+T10))</f>
        <v/>
      </c>
      <c r="U6" s="30" t="str">
        <f aca="false">IF(OR(T6="",U10=""),"",T6*(1+U10))</f>
        <v/>
      </c>
      <c r="V6" s="29" t="n">
        <v>161</v>
      </c>
      <c r="W6" s="30" t="str">
        <f aca="false">IF(OR(V6="",W10=""),"",V6*(1+W10))</f>
        <v/>
      </c>
      <c r="X6" s="30" t="str">
        <f aca="false">IF(OR(W6="",X10=""),"",W6*(1+X10))</f>
        <v/>
      </c>
      <c r="Y6" s="30" t="str">
        <f aca="false">IF(OR(X6="",Y10=""),"",X6*(1+Y10))</f>
        <v/>
      </c>
      <c r="Z6" s="30" t="str">
        <f aca="false">IF(OR(Y6="",Z10=""),"",Y6*(1+Z10))</f>
        <v/>
      </c>
      <c r="AA6" s="30" t="str">
        <f aca="false">IF(OR(Z6="",AA10=""),"",Z6*(1+AA10))</f>
        <v/>
      </c>
      <c r="AB6" s="30" t="str">
        <f aca="false">IF(OR(AA6="",AB10=""),"",AA6*(1+AB10))</f>
        <v/>
      </c>
    </row>
    <row r="7" customFormat="false" ht="15" hidden="false" customHeight="true" outlineLevel="0" collapsed="false">
      <c r="A7" s="18" t="s">
        <v>89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customFormat="false" ht="15" hidden="false" customHeight="true" outlineLevel="0" collapsed="false">
      <c r="A8" s="18" t="s">
        <v>90</v>
      </c>
      <c r="B8" s="29" t="n">
        <v>30951.89191157</v>
      </c>
      <c r="C8" s="29" t="n">
        <v>31858.13219696</v>
      </c>
      <c r="D8" s="29" t="n">
        <v>34416.86600797</v>
      </c>
      <c r="E8" s="29" t="n">
        <v>60492.2247774</v>
      </c>
      <c r="F8" s="29" t="n">
        <v>62895.62798713</v>
      </c>
      <c r="G8" s="29" t="n">
        <v>67386.16027612</v>
      </c>
      <c r="H8" s="29" t="n">
        <v>75844.15007836</v>
      </c>
      <c r="I8" s="29" t="n">
        <v>75058.22439581</v>
      </c>
      <c r="J8" s="29" t="n">
        <v>17501.79</v>
      </c>
      <c r="K8" s="29" t="n">
        <v>17953.55</v>
      </c>
      <c r="L8" s="29" t="n">
        <v>18790.05</v>
      </c>
      <c r="M8" s="29" t="n">
        <v>21598.76007836</v>
      </c>
      <c r="N8" s="29" t="n">
        <v>18427.05</v>
      </c>
      <c r="O8" s="29" t="n">
        <v>18460.74</v>
      </c>
      <c r="P8" s="29" t="n">
        <v>18254.82</v>
      </c>
      <c r="Q8" s="29" t="n">
        <v>19915.61439581</v>
      </c>
      <c r="R8" s="29" t="n">
        <v>19294.3</v>
      </c>
      <c r="S8" s="19"/>
      <c r="T8" s="19"/>
      <c r="U8" s="19"/>
      <c r="V8" s="29" t="n">
        <v>25662.29392771</v>
      </c>
      <c r="W8" s="19"/>
      <c r="X8" s="19"/>
      <c r="Y8" s="19"/>
      <c r="Z8" s="19"/>
      <c r="AA8" s="19"/>
      <c r="AB8" s="19"/>
    </row>
    <row r="9" customFormat="false" ht="15" hidden="false" customHeight="true" outlineLevel="0" collapsed="false">
      <c r="A9" s="18" t="s">
        <v>91</v>
      </c>
      <c r="B9" s="26" t="n">
        <f aca="false">IFERROR(IF(OR(B6="",B6=0,B8=""),"",B8/B6*100),"")</f>
        <v>16401.7075341341</v>
      </c>
      <c r="C9" s="26" t="n">
        <f aca="false">IFERROR(IF(OR(C6="",C6=0,C8=""),"",C8/C6*100),"")</f>
        <v>12161.4352239481</v>
      </c>
      <c r="D9" s="26" t="n">
        <f aca="false">IFERROR(IF(OR(D6="",D6=0,D8=""),"",D8/D6*100),"")</f>
        <v>11932.1373326055</v>
      </c>
      <c r="E9" s="26" t="n">
        <f aca="false">IFERROR(IF(OR(E6="",E6=0,E8=""),"",E8/E6*100),"")</f>
        <v>15550.7004569152</v>
      </c>
      <c r="F9" s="26" t="n">
        <f aca="false">IFERROR(IF(OR(F6="",F6=0,F8=""),"",F8/F6*100),"")</f>
        <v>15046.8009538589</v>
      </c>
      <c r="G9" s="26" t="n">
        <f aca="false">IFERROR(IF(OR(G6="",G6=0,G8=""),"",G8/G6*100),"")</f>
        <v>13780.4008744622</v>
      </c>
      <c r="H9" s="26" t="n">
        <f aca="false">IFERROR(IF(OR(H6="",H6=0,H8=""),"",H8/H6*100),"")</f>
        <v>13447.5443401348</v>
      </c>
      <c r="I9" s="26" t="n">
        <f aca="false">IFERROR(IF(OR(I6="",I6=0,I8=""),"",I8/I6*100),"")</f>
        <v>11895.122725168</v>
      </c>
      <c r="J9" s="26" t="n">
        <f aca="false">IFERROR(IF(OR(J6="",J6=0,J8=""),"",J8/J6*100),"")</f>
        <v>13360.1450381679</v>
      </c>
      <c r="K9" s="26" t="n">
        <f aca="false">IFERROR(IF(OR(K6="",K6=0,K8=""),"",K8/K6*100),"")</f>
        <v>13009.8188405797</v>
      </c>
      <c r="L9" s="26" t="n">
        <f aca="false">IFERROR(IF(OR(L6="",L6=0,L8=""),"",L8/L6*100),"")</f>
        <v>13326.2765957447</v>
      </c>
      <c r="M9" s="26" t="n">
        <f aca="false">IFERROR(IF(OR(M6="",M6=0,M8=""),"",M8/M6*100),"")</f>
        <v>14025.1688820519</v>
      </c>
      <c r="N9" s="26" t="n">
        <f aca="false">IFERROR(IF(OR(N6="",N6=0,N8=""),"",N8/N6*100),"")</f>
        <v>12708.3103448276</v>
      </c>
      <c r="O9" s="26" t="n">
        <f aca="false">IFERROR(IF(OR(O6="",O6=0,O8=""),"",O8/O6*100),"")</f>
        <v>11684.0126582278</v>
      </c>
      <c r="P9" s="26" t="n">
        <f aca="false">IFERROR(IF(OR(P6="",P6=0,P8=""),"",P8/P6*100),"")</f>
        <v>11777.3032258065</v>
      </c>
      <c r="Q9" s="26" t="n">
        <f aca="false">IFERROR(IF(OR(Q6="",Q6=0,Q8=""),"",Q8/Q6*100),"")</f>
        <v>11511.9158357283</v>
      </c>
      <c r="R9" s="26" t="n">
        <f aca="false">IFERROR(IF(OR(R6="",R6=0,R8=""),"",R8/R6*100),"")</f>
        <v>11693.5151515152</v>
      </c>
      <c r="S9" s="26" t="str">
        <f aca="false">IF(OR(I9="",S11=""),"",I9*(1+S11))</f>
        <v/>
      </c>
      <c r="T9" s="26" t="str">
        <f aca="false">IF(OR(S9="",T11=""),"",S9*(1+T11))</f>
        <v/>
      </c>
      <c r="U9" s="26" t="str">
        <f aca="false">IF(OR(T9="",U11=""),"",T9*(1+U11))</f>
        <v/>
      </c>
      <c r="V9" s="26" t="n">
        <f aca="false">IFERROR(IF(OR(V6="",V6=0,V8=""),"",V8/V6*100),"")</f>
        <v>15939.3129985776</v>
      </c>
      <c r="W9" s="26" t="str">
        <f aca="false">IF(OR(V9="",W11=""),"",V9*(1+W11))</f>
        <v/>
      </c>
      <c r="X9" s="26" t="str">
        <f aca="false">IF(OR(W9="",X11=""),"",W9*(1+X11))</f>
        <v/>
      </c>
      <c r="Y9" s="26" t="str">
        <f aca="false">IF(OR(X9="",Y11=""),"",X9*(1+Y11))</f>
        <v/>
      </c>
      <c r="Z9" s="26" t="str">
        <f aca="false">IF(OR(Y9="",Z11=""),"",Y9*(1+Z11))</f>
        <v/>
      </c>
      <c r="AA9" s="26" t="str">
        <f aca="false">IF(OR(Z9="",AA11=""),"",Z9*(1+AA11))</f>
        <v/>
      </c>
      <c r="AB9" s="26" t="str">
        <f aca="false">IF(OR(AA9="",AB11=""),"",AA9*(1+AB11))</f>
        <v/>
      </c>
    </row>
    <row r="10" customFormat="false" ht="15" hidden="false" customHeight="true" outlineLevel="0" collapsed="false">
      <c r="A10" s="18" t="s">
        <v>65</v>
      </c>
      <c r="B10" s="19"/>
      <c r="C10" s="31" t="n">
        <f aca="false">IFERROR(IF(OR(B6="",B6=0,C6=""),"",C6/B6-1),"")</f>
        <v>0.388153020962168</v>
      </c>
      <c r="D10" s="31" t="n">
        <f aca="false">IFERROR(IF(OR(C6="",C6=0,D6=""),"",D6/C6-1),"")</f>
        <v>0.101076766212285</v>
      </c>
      <c r="E10" s="31" t="n">
        <f aca="false">IFERROR(IF(OR(D6="",D6=0,E6=""),"",E6/D6-1),"")</f>
        <v>0.348641512364512</v>
      </c>
      <c r="F10" s="31" t="n">
        <f aca="false">IFERROR(IF(OR(E6="",E6=0,F6=""),"",F6/E6-1),"")</f>
        <v>0.0745501285347043</v>
      </c>
      <c r="G10" s="31" t="n">
        <f aca="false">IFERROR(IF(OR(F6="",F6=0,G6=""),"",G6/F6-1),"")</f>
        <v>0.169856459330143</v>
      </c>
      <c r="H10" s="31" t="n">
        <f aca="false">IFERROR(IF(OR(G6="",G6=0,H6=""),"",H6/G6-1),"")</f>
        <v>0.153374233128834</v>
      </c>
      <c r="I10" s="31" t="n">
        <f aca="false">IFERROR(IF(OR(H6="",H6=0,I6=""),"",I6/H6-1),"")</f>
        <v>0.118794326241135</v>
      </c>
      <c r="J10" s="19"/>
      <c r="K10" s="31" t="n">
        <f aca="false">IFERROR(IF(OR(J6="",J6=0,K6=""),"",K6/J6-1),"")</f>
        <v>0.0534351145038168</v>
      </c>
      <c r="L10" s="31" t="n">
        <f aca="false">IFERROR(IF(OR(K6="",K6=0,L6=""),"",L6/K6-1),"")</f>
        <v>0.0217391304347827</v>
      </c>
      <c r="M10" s="31" t="n">
        <f aca="false">IFERROR(IF(OR(L6="",L6=0,M6=""),"",M6/L6-1),"")</f>
        <v>0.0921985815602837</v>
      </c>
      <c r="N10" s="31" t="n">
        <f aca="false">IFERROR(IF(OR(M6="",M6=0,N6=""),"",N6/M6-1),"")</f>
        <v>-0.0584415584415584</v>
      </c>
      <c r="O10" s="31" t="n">
        <f aca="false">IFERROR(IF(OR(N6="",N6=0,O6=""),"",O6/N6-1),"")</f>
        <v>0.0896551724137931</v>
      </c>
      <c r="P10" s="31" t="n">
        <f aca="false">IFERROR(IF(OR(O6="",O6=0,P6=""),"",P6/O6-1),"")</f>
        <v>-0.0189873417721519</v>
      </c>
      <c r="Q10" s="31" t="n">
        <f aca="false">IFERROR(IF(OR(P6="",P6=0,Q6=""),"",Q6/P6-1),"")</f>
        <v>0.116129032258065</v>
      </c>
      <c r="R10" s="31" t="n">
        <f aca="false">IFERROR(IF(OR(Q6="",Q6=0,R6=""),"",R6/Q6-1),"")</f>
        <v>-0.046242774566474</v>
      </c>
      <c r="S10" s="32" t="str">
        <f aca="false">IF(Assumptions!S6="","",Assumptions!S6)</f>
        <v/>
      </c>
      <c r="T10" s="32" t="str">
        <f aca="false">IF(Assumptions!T6="","",Assumptions!T6)</f>
        <v/>
      </c>
      <c r="U10" s="32" t="str">
        <f aca="false">IF(Assumptions!U6="","",Assumptions!U6)</f>
        <v/>
      </c>
      <c r="V10" s="31" t="n">
        <f aca="false">IFERROR(IF(OR(R6="",R6=0,V6=""),"",V6/R6-1),"")</f>
        <v>-0.0242424242424243</v>
      </c>
      <c r="W10" s="32" t="str">
        <f aca="false">IF(Assumptions!W6="","",Assumptions!W6)</f>
        <v/>
      </c>
      <c r="X10" s="32" t="str">
        <f aca="false">IF(Assumptions!X6="","",Assumptions!X6)</f>
        <v/>
      </c>
      <c r="Y10" s="32" t="str">
        <f aca="false">IF(Assumptions!Y6="","",Assumptions!Y6)</f>
        <v/>
      </c>
      <c r="Z10" s="32" t="str">
        <f aca="false">IF(Assumptions!Z6="","",Assumptions!Z6)</f>
        <v/>
      </c>
      <c r="AA10" s="32" t="str">
        <f aca="false">IF(Assumptions!AA6="","",Assumptions!AA6)</f>
        <v/>
      </c>
      <c r="AB10" s="32" t="str">
        <f aca="false">IF(Assumptions!AB6="","",Assumptions!AB6)</f>
        <v/>
      </c>
    </row>
    <row r="11" customFormat="false" ht="15" hidden="false" customHeight="true" outlineLevel="0" collapsed="false">
      <c r="A11" s="18" t="s">
        <v>66</v>
      </c>
      <c r="B11" s="19"/>
      <c r="C11" s="31" t="n">
        <f aca="false">IFERROR(IF(OR(B9="",B9=0,C9=""),"",C9/B9-1),"")</f>
        <v>-0.258526272423862</v>
      </c>
      <c r="D11" s="31" t="n">
        <f aca="false">IFERROR(IF(OR(C9="",C9=0,D9=""),"",D9/C9-1),"")</f>
        <v>-0.0188545091200274</v>
      </c>
      <c r="E11" s="31" t="n">
        <f aca="false">IFERROR(IF(OR(D9="",D9=0,E9=""),"",E9/D9-1),"")</f>
        <v>0.303261940710459</v>
      </c>
      <c r="F11" s="31" t="n">
        <f aca="false">IFERROR(IF(OR(E9="",E9=0,F9=""),"",F9/E9-1),"")</f>
        <v>-0.0324036530992556</v>
      </c>
      <c r="G11" s="31" t="n">
        <f aca="false">IFERROR(IF(OR(F9="",F9=0,G9=""),"",G9/F9-1),"")</f>
        <v>-0.0841640746946883</v>
      </c>
      <c r="H11" s="31" t="n">
        <f aca="false">IFERROR(IF(OR(G9="",G9=0,H9=""),"",H9/G9-1),"")</f>
        <v>-0.0241543433576208</v>
      </c>
      <c r="I11" s="31" t="n">
        <f aca="false">IFERROR(IF(OR(H9="",H9=0,I9=""),"",I9/H9-1),"")</f>
        <v>-0.115442758595969</v>
      </c>
      <c r="J11" s="19"/>
      <c r="K11" s="31" t="n">
        <f aca="false">IFERROR(IF(OR(J9="",J9=0,K9=""),"",K9/J9-1),"")</f>
        <v>-0.0262217361104541</v>
      </c>
      <c r="L11" s="31" t="n">
        <f aca="false">IFERROR(IF(OR(K9="",K9=0,L9=""),"",L9/K9-1),"")</f>
        <v>0.0243245320355954</v>
      </c>
      <c r="M11" s="31" t="n">
        <f aca="false">IFERROR(IF(OR(L9="",L9=0,M9=""),"",M9/L9-1),"")</f>
        <v>0.0524446780978893</v>
      </c>
      <c r="N11" s="31" t="n">
        <f aca="false">IFERROR(IF(OR(M9="",M9=0,N9=""),"",N9/M9-1),"")</f>
        <v>-0.0938925262361402</v>
      </c>
      <c r="O11" s="31" t="n">
        <f aca="false">IFERROR(IF(OR(N9="",N9=0,O9=""),"",O9/N9-1),"")</f>
        <v>-0.0806006195006591</v>
      </c>
      <c r="P11" s="31" t="n">
        <f aca="false">IFERROR(IF(OR(O9="",O9=0,P9=""),"",P9/O9-1),"")</f>
        <v>0.00798446306996326</v>
      </c>
      <c r="Q11" s="31" t="n">
        <f aca="false">IFERROR(IF(OR(P9="",P9=0,Q9=""),"",Q9/P9-1),"")</f>
        <v>-0.022533799545605</v>
      </c>
      <c r="R11" s="31" t="n">
        <f aca="false">IFERROR(IF(OR(Q9="",Q9=0,R9=""),"",R9/Q9-1),"")</f>
        <v>0.015774899536984</v>
      </c>
      <c r="S11" s="32" t="str">
        <f aca="false">IF(Assumptions!S7="","",Assumptions!S7)</f>
        <v/>
      </c>
      <c r="T11" s="32" t="str">
        <f aca="false">IF(Assumptions!T7="","",Assumptions!T7)</f>
        <v/>
      </c>
      <c r="U11" s="32" t="str">
        <f aca="false">IF(Assumptions!U7="","",Assumptions!U7)</f>
        <v/>
      </c>
      <c r="V11" s="31" t="n">
        <f aca="false">IFERROR(IF(OR(R9="",R9=0,V9=""),"",V9/R9-1),"")</f>
        <v>0.363089951314798</v>
      </c>
      <c r="W11" s="32" t="str">
        <f aca="false">IF(Assumptions!W7="","",Assumptions!W7)</f>
        <v/>
      </c>
      <c r="X11" s="32" t="str">
        <f aca="false">IF(Assumptions!X7="","",Assumptions!X7)</f>
        <v/>
      </c>
      <c r="Y11" s="32" t="str">
        <f aca="false">IF(Assumptions!Y7="","",Assumptions!Y7)</f>
        <v/>
      </c>
      <c r="Z11" s="32" t="str">
        <f aca="false">IF(Assumptions!Z7="","",Assumptions!Z7)</f>
        <v/>
      </c>
      <c r="AA11" s="32" t="str">
        <f aca="false">IF(Assumptions!AA7="","",Assumptions!AA7)</f>
        <v/>
      </c>
      <c r="AB11" s="32" t="str">
        <f aca="false">IF(Assumptions!AB7="","",Assumptions!AB7)</f>
        <v/>
      </c>
    </row>
    <row r="12" customFormat="false" ht="15" hidden="false" customHeight="true" outlineLevel="0" collapsed="false">
      <c r="A12" s="18" t="s">
        <v>92</v>
      </c>
      <c r="B12" s="30" t="n">
        <f aca="false">IF(B8="","",B8)</f>
        <v>30951.89191157</v>
      </c>
      <c r="C12" s="30" t="n">
        <f aca="false">IF(C8="","",C8)</f>
        <v>31858.13219696</v>
      </c>
      <c r="D12" s="30" t="n">
        <f aca="false">IF(D8="","",D8)</f>
        <v>34416.86600797</v>
      </c>
      <c r="E12" s="30" t="n">
        <f aca="false">IF(E8="","",E8)</f>
        <v>60492.2247774</v>
      </c>
      <c r="F12" s="30" t="n">
        <f aca="false">IF(F8="","",F8)</f>
        <v>62895.62798713</v>
      </c>
      <c r="G12" s="30" t="n">
        <f aca="false">IF(G8="","",G8)</f>
        <v>67386.16027612</v>
      </c>
      <c r="H12" s="30" t="n">
        <f aca="false">IF(H8="","",H8)</f>
        <v>75844.15007836</v>
      </c>
      <c r="I12" s="30" t="n">
        <f aca="false">IF(I8="","",I8)</f>
        <v>75058.22439581</v>
      </c>
      <c r="J12" s="30" t="n">
        <f aca="false">IF(J8="","",J8)</f>
        <v>17501.79</v>
      </c>
      <c r="K12" s="30" t="n">
        <f aca="false">IF(K8="","",K8)</f>
        <v>17953.55</v>
      </c>
      <c r="L12" s="30" t="n">
        <f aca="false">IF(L8="","",L8)</f>
        <v>18790.05</v>
      </c>
      <c r="M12" s="30" t="n">
        <f aca="false">IF(M8="","",M8)</f>
        <v>21598.76007836</v>
      </c>
      <c r="N12" s="30" t="n">
        <f aca="false">IF(N8="","",N8)</f>
        <v>18427.05</v>
      </c>
      <c r="O12" s="30" t="n">
        <f aca="false">IF(O8="","",O8)</f>
        <v>18460.74</v>
      </c>
      <c r="P12" s="30" t="n">
        <f aca="false">IF(P8="","",P8)</f>
        <v>18254.82</v>
      </c>
      <c r="Q12" s="30" t="n">
        <f aca="false">IF(Q8="","",Q8)</f>
        <v>19915.61439581</v>
      </c>
      <c r="R12" s="30" t="n">
        <f aca="false">IF(R8="","",R8)</f>
        <v>19294.3</v>
      </c>
      <c r="S12" s="30" t="str">
        <f aca="false">IF(OR(S6="",S9=""),"",S6*S9/100)</f>
        <v/>
      </c>
      <c r="T12" s="30" t="str">
        <f aca="false">IF(OR(T6="",T9=""),"",T6*T9/100)</f>
        <v/>
      </c>
      <c r="U12" s="30" t="str">
        <f aca="false">IF(OR(U6="",U9=""),"",U6*U9/100)</f>
        <v/>
      </c>
      <c r="V12" s="30" t="n">
        <f aca="false">IF(V8="","",V8)</f>
        <v>25662.29392771</v>
      </c>
      <c r="W12" s="30" t="str">
        <f aca="false">IF(OR(W6="",W9=""),"",W6*W9/100)</f>
        <v/>
      </c>
      <c r="X12" s="30" t="str">
        <f aca="false">IF(OR(X6="",X9=""),"",X6*X9/100)</f>
        <v/>
      </c>
      <c r="Y12" s="30" t="str">
        <f aca="false">IF(OR(Y6="",Y9=""),"",Y6*Y9/100)</f>
        <v/>
      </c>
      <c r="Z12" s="30" t="str">
        <f aca="false">IF(OR(Z6="",Z9=""),"",Z6*Z9/100)</f>
        <v/>
      </c>
      <c r="AA12" s="30" t="str">
        <f aca="false">IF(OR(AA6="",AA9=""),"",AA6*AA9/100)</f>
        <v/>
      </c>
      <c r="AB12" s="30" t="str">
        <f aca="false">IF(OR(AB6="",AB9=""),"",AB6*AB9/100)</f>
        <v/>
      </c>
    </row>
    <row r="13" customFormat="false" ht="15" hidden="false" customHeight="true" outlineLevel="0" collapsed="false">
      <c r="A13" s="21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customFormat="false" ht="15" hidden="false" customHeight="true" outlineLevel="0" collapsed="false">
      <c r="A14" s="21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customFormat="false" ht="15" hidden="false" customHeight="true" outlineLevel="0" collapsed="false">
      <c r="A15" s="17" t="s">
        <v>69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customFormat="false" ht="15" hidden="false" customHeight="true" outlineLevel="0" collapsed="false">
      <c r="A16" s="18" t="s">
        <v>88</v>
      </c>
      <c r="B16" s="29" t="n">
        <v>151.4707</v>
      </c>
      <c r="C16" s="29" t="n">
        <v>197.8362</v>
      </c>
      <c r="D16" s="29" t="n">
        <v>188.4886</v>
      </c>
      <c r="E16" s="29" t="n">
        <v>390</v>
      </c>
      <c r="F16" s="29" t="n">
        <v>454</v>
      </c>
      <c r="G16" s="29" t="n">
        <v>472</v>
      </c>
      <c r="H16" s="29" t="n">
        <v>547</v>
      </c>
      <c r="I16" s="29" t="n">
        <v>633</v>
      </c>
      <c r="J16" s="29" t="n">
        <v>134</v>
      </c>
      <c r="K16" s="29" t="n">
        <v>141</v>
      </c>
      <c r="L16" s="29" t="n">
        <v>132</v>
      </c>
      <c r="M16" s="29" t="n">
        <v>140</v>
      </c>
      <c r="N16" s="29" t="n">
        <v>133</v>
      </c>
      <c r="O16" s="29" t="n">
        <v>152</v>
      </c>
      <c r="P16" s="29" t="n">
        <v>175</v>
      </c>
      <c r="Q16" s="29" t="n">
        <v>173</v>
      </c>
      <c r="R16" s="29" t="n">
        <v>166</v>
      </c>
      <c r="S16" s="30" t="str">
        <f aca="false">IF(OR(I16="",S20=""),"",I16*(1+S20))</f>
        <v/>
      </c>
      <c r="T16" s="30" t="str">
        <f aca="false">IF(OR(S16="",T20=""),"",S16*(1+T20))</f>
        <v/>
      </c>
      <c r="U16" s="30" t="str">
        <f aca="false">IF(OR(T16="",U20=""),"",T16*(1+U20))</f>
        <v/>
      </c>
      <c r="V16" s="29" t="n">
        <v>173</v>
      </c>
      <c r="W16" s="30" t="str">
        <f aca="false">IF(OR(V16="",W20=""),"",V16*(1+W20))</f>
        <v/>
      </c>
      <c r="X16" s="30" t="str">
        <f aca="false">IF(OR(W16="",X20=""),"",W16*(1+X20))</f>
        <v/>
      </c>
      <c r="Y16" s="30" t="str">
        <f aca="false">IF(OR(X16="",Y20=""),"",X16*(1+Y20))</f>
        <v/>
      </c>
      <c r="Z16" s="30" t="str">
        <f aca="false">IF(OR(Y16="",Z20=""),"",Y16*(1+Z20))</f>
        <v/>
      </c>
      <c r="AA16" s="30" t="str">
        <f aca="false">IF(OR(Z16="",AA20=""),"",Z16*(1+AA20))</f>
        <v/>
      </c>
      <c r="AB16" s="30" t="str">
        <f aca="false">IF(OR(AA16="",AB20=""),"",AA16*(1+AB20))</f>
        <v/>
      </c>
    </row>
    <row r="17" customFormat="false" ht="15" hidden="false" customHeight="true" outlineLevel="0" collapsed="false">
      <c r="A17" s="18" t="s">
        <v>89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customFormat="false" ht="15" hidden="false" customHeight="true" outlineLevel="0" collapsed="false">
      <c r="A18" s="18" t="s">
        <v>90</v>
      </c>
      <c r="B18" s="29" t="n">
        <v>18907.54575605</v>
      </c>
      <c r="C18" s="29" t="n">
        <v>20102.03569232</v>
      </c>
      <c r="D18" s="29" t="n">
        <v>23084.98688268</v>
      </c>
      <c r="E18" s="29" t="n">
        <v>61409.36514356</v>
      </c>
      <c r="F18" s="29" t="n">
        <v>69635.163722</v>
      </c>
      <c r="G18" s="29" t="n">
        <v>69327.92411413</v>
      </c>
      <c r="H18" s="29" t="n">
        <v>72518.2719261</v>
      </c>
      <c r="I18" s="29" t="n">
        <v>84203.8104991</v>
      </c>
      <c r="J18" s="29" t="n">
        <v>18513.68</v>
      </c>
      <c r="K18" s="29" t="n">
        <v>21061.08</v>
      </c>
      <c r="L18" s="29" t="n">
        <v>22403.04</v>
      </c>
      <c r="M18" s="29" t="n">
        <v>10540.4719261</v>
      </c>
      <c r="N18" s="29" t="n">
        <v>16320.12</v>
      </c>
      <c r="O18" s="29" t="n">
        <v>18613.44</v>
      </c>
      <c r="P18" s="29" t="n">
        <v>24385.72</v>
      </c>
      <c r="Q18" s="29" t="n">
        <v>24884.5304991</v>
      </c>
      <c r="R18" s="29" t="n">
        <v>20505.86</v>
      </c>
      <c r="S18" s="19"/>
      <c r="T18" s="19"/>
      <c r="U18" s="19"/>
      <c r="V18" s="29" t="n">
        <v>27231.70464246</v>
      </c>
      <c r="W18" s="19"/>
      <c r="X18" s="19"/>
      <c r="Y18" s="19"/>
      <c r="Z18" s="19"/>
      <c r="AA18" s="19"/>
      <c r="AB18" s="19"/>
    </row>
    <row r="19" customFormat="false" ht="15" hidden="false" customHeight="true" outlineLevel="0" collapsed="false">
      <c r="A19" s="18" t="s">
        <v>91</v>
      </c>
      <c r="B19" s="26" t="n">
        <f aca="false">IFERROR(IF(OR(B16="",B16=0,B18=""),"",B18/B16*100),"")</f>
        <v>12482.6423566076</v>
      </c>
      <c r="C19" s="26" t="n">
        <f aca="false">IFERROR(IF(OR(C16="",C16=0,C18=""),"",C18/C16*100),"")</f>
        <v>10160.9491550687</v>
      </c>
      <c r="D19" s="26" t="n">
        <f aca="false">IFERROR(IF(OR(D16="",D16=0,D18=""),"",D18/D16*100),"")</f>
        <v>12247.4180840008</v>
      </c>
      <c r="E19" s="26" t="n">
        <f aca="false">IFERROR(IF(OR(E16="",E16=0,E18=""),"",E18/E16*100),"")</f>
        <v>15745.9910624513</v>
      </c>
      <c r="F19" s="26" t="n">
        <f aca="false">IFERROR(IF(OR(F16="",F16=0,F18=""),"",F18/F16*100),"")</f>
        <v>15338.1417889868</v>
      </c>
      <c r="G19" s="26" t="n">
        <f aca="false">IFERROR(IF(OR(G16="",G16=0,G18=""),"",G18/G16*100),"")</f>
        <v>14688.1195157055</v>
      </c>
      <c r="H19" s="26" t="n">
        <f aca="false">IFERROR(IF(OR(H16="",H16=0,H18=""),"",H18/H16*100),"")</f>
        <v>13257.4537342048</v>
      </c>
      <c r="I19" s="26" t="n">
        <f aca="false">IFERROR(IF(OR(I16="",I16=0,I18=""),"",I18/I16*100),"")</f>
        <v>13302.3397312954</v>
      </c>
      <c r="J19" s="26" t="n">
        <f aca="false">IFERROR(IF(OR(J16="",J16=0,J18=""),"",J18/J16*100),"")</f>
        <v>13816.1791044776</v>
      </c>
      <c r="K19" s="26" t="n">
        <f aca="false">IFERROR(IF(OR(K16="",K16=0,K18=""),"",K18/K16*100),"")</f>
        <v>14936.9361702128</v>
      </c>
      <c r="L19" s="26" t="n">
        <f aca="false">IFERROR(IF(OR(L16="",L16=0,L18=""),"",L18/L16*100),"")</f>
        <v>16972</v>
      </c>
      <c r="M19" s="26" t="n">
        <f aca="false">IFERROR(IF(OR(M16="",M16=0,M18=""),"",M18/M16*100),"")</f>
        <v>7528.90851864286</v>
      </c>
      <c r="N19" s="26" t="n">
        <f aca="false">IFERROR(IF(OR(N16="",N16=0,N18=""),"",N18/N16*100),"")</f>
        <v>12270.7669172932</v>
      </c>
      <c r="O19" s="26" t="n">
        <f aca="false">IFERROR(IF(OR(O16="",O16=0,O18=""),"",O18/O16*100),"")</f>
        <v>12245.6842105263</v>
      </c>
      <c r="P19" s="26" t="n">
        <f aca="false">IFERROR(IF(OR(P16="",P16=0,P18=""),"",P18/P16*100),"")</f>
        <v>13934.6971428571</v>
      </c>
      <c r="Q19" s="26" t="n">
        <f aca="false">IFERROR(IF(OR(Q16="",Q16=0,Q18=""),"",Q18/Q16*100),"")</f>
        <v>14384.1216757803</v>
      </c>
      <c r="R19" s="26" t="n">
        <f aca="false">IFERROR(IF(OR(R16="",R16=0,R18=""),"",R18/R16*100),"")</f>
        <v>12352.9277108434</v>
      </c>
      <c r="S19" s="26" t="str">
        <f aca="false">IF(OR(I19="",S21=""),"",I19*(1+S21))</f>
        <v/>
      </c>
      <c r="T19" s="26" t="str">
        <f aca="false">IF(OR(S19="",T21=""),"",S19*(1+T21))</f>
        <v/>
      </c>
      <c r="U19" s="26" t="str">
        <f aca="false">IF(OR(T19="",U21=""),"",T19*(1+U21))</f>
        <v/>
      </c>
      <c r="V19" s="26" t="n">
        <f aca="false">IFERROR(IF(OR(V16="",V16=0,V18=""),"",V18/V16*100),"")</f>
        <v>15740.869735526</v>
      </c>
      <c r="W19" s="26" t="str">
        <f aca="false">IF(OR(V19="",W21=""),"",V19*(1+W21))</f>
        <v/>
      </c>
      <c r="X19" s="26" t="str">
        <f aca="false">IF(OR(W19="",X21=""),"",W19*(1+X21))</f>
        <v/>
      </c>
      <c r="Y19" s="26" t="str">
        <f aca="false">IF(OR(X19="",Y21=""),"",X19*(1+Y21))</f>
        <v/>
      </c>
      <c r="Z19" s="26" t="str">
        <f aca="false">IF(OR(Y19="",Z21=""),"",Y19*(1+Z21))</f>
        <v/>
      </c>
      <c r="AA19" s="26" t="str">
        <f aca="false">IF(OR(Z19="",AA21=""),"",Z19*(1+AA21))</f>
        <v/>
      </c>
      <c r="AB19" s="26" t="str">
        <f aca="false">IF(OR(AA19="",AB21=""),"",AA19*(1+AB21))</f>
        <v/>
      </c>
    </row>
    <row r="20" customFormat="false" ht="15" hidden="false" customHeight="true" outlineLevel="0" collapsed="false">
      <c r="A20" s="18" t="s">
        <v>65</v>
      </c>
      <c r="B20" s="19"/>
      <c r="C20" s="31" t="n">
        <f aca="false">IFERROR(IF(OR(B16="",B16=0,C16=""),"",C16/B16-1),"")</f>
        <v>0.30610210423534</v>
      </c>
      <c r="D20" s="31" t="n">
        <f aca="false">IFERROR(IF(OR(C16="",C16=0,D16=""),"",D16/C16-1),"")</f>
        <v>-0.0472491889755262</v>
      </c>
      <c r="E20" s="31" t="n">
        <f aca="false">IFERROR(IF(OR(D16="",D16=0,E16=""),"",E16/D16-1),"")</f>
        <v>1.06909065057515</v>
      </c>
      <c r="F20" s="31" t="n">
        <f aca="false">IFERROR(IF(OR(E16="",E16=0,F16=""),"",F16/E16-1),"")</f>
        <v>0.164102564102564</v>
      </c>
      <c r="G20" s="31" t="n">
        <f aca="false">IFERROR(IF(OR(F16="",F16=0,G16=""),"",G16/F16-1),"")</f>
        <v>0.0396475770925111</v>
      </c>
      <c r="H20" s="31" t="n">
        <f aca="false">IFERROR(IF(OR(G16="",G16=0,H16=""),"",H16/G16-1),"")</f>
        <v>0.158898305084746</v>
      </c>
      <c r="I20" s="31" t="n">
        <f aca="false">IFERROR(IF(OR(H16="",H16=0,I16=""),"",I16/H16-1),"")</f>
        <v>0.157221206581353</v>
      </c>
      <c r="J20" s="19"/>
      <c r="K20" s="31" t="n">
        <f aca="false">IFERROR(IF(OR(J16="",J16=0,K16=""),"",K16/J16-1),"")</f>
        <v>0.0522388059701493</v>
      </c>
      <c r="L20" s="31" t="n">
        <f aca="false">IFERROR(IF(OR(K16="",K16=0,L16=""),"",L16/K16-1),"")</f>
        <v>-0.0638297872340425</v>
      </c>
      <c r="M20" s="31" t="n">
        <f aca="false">IFERROR(IF(OR(L16="",L16=0,M16=""),"",M16/L16-1),"")</f>
        <v>0.0606060606060606</v>
      </c>
      <c r="N20" s="31" t="n">
        <f aca="false">IFERROR(IF(OR(M16="",M16=0,N16=""),"",N16/M16-1),"")</f>
        <v>-0.05</v>
      </c>
      <c r="O20" s="31" t="n">
        <f aca="false">IFERROR(IF(OR(N16="",N16=0,O16=""),"",O16/N16-1),"")</f>
        <v>0.142857142857143</v>
      </c>
      <c r="P20" s="31" t="n">
        <f aca="false">IFERROR(IF(OR(O16="",O16=0,P16=""),"",P16/O16-1),"")</f>
        <v>0.151315789473684</v>
      </c>
      <c r="Q20" s="31" t="n">
        <f aca="false">IFERROR(IF(OR(P16="",P16=0,Q16=""),"",Q16/P16-1),"")</f>
        <v>-0.0114285714285715</v>
      </c>
      <c r="R20" s="31" t="n">
        <f aca="false">IFERROR(IF(OR(Q16="",Q16=0,R16=""),"",R16/Q16-1),"")</f>
        <v>-0.0404624277456648</v>
      </c>
      <c r="S20" s="32" t="str">
        <f aca="false">IF(Assumptions!S12="","",Assumptions!S12)</f>
        <v/>
      </c>
      <c r="T20" s="32" t="str">
        <f aca="false">IF(Assumptions!T12="","",Assumptions!T12)</f>
        <v/>
      </c>
      <c r="U20" s="32" t="str">
        <f aca="false">IF(Assumptions!U12="","",Assumptions!U12)</f>
        <v/>
      </c>
      <c r="V20" s="31" t="n">
        <f aca="false">IFERROR(IF(OR(R16="",R16=0,V16=""),"",V16/R16-1),"")</f>
        <v>0.0421686746987953</v>
      </c>
      <c r="W20" s="32" t="str">
        <f aca="false">IF(Assumptions!W12="","",Assumptions!W12)</f>
        <v/>
      </c>
      <c r="X20" s="32" t="str">
        <f aca="false">IF(Assumptions!X12="","",Assumptions!X12)</f>
        <v/>
      </c>
      <c r="Y20" s="32" t="str">
        <f aca="false">IF(Assumptions!Y12="","",Assumptions!Y12)</f>
        <v/>
      </c>
      <c r="Z20" s="32" t="str">
        <f aca="false">IF(Assumptions!Z12="","",Assumptions!Z12)</f>
        <v/>
      </c>
      <c r="AA20" s="32" t="str">
        <f aca="false">IF(Assumptions!AA12="","",Assumptions!AA12)</f>
        <v/>
      </c>
      <c r="AB20" s="32" t="str">
        <f aca="false">IF(Assumptions!AB12="","",Assumptions!AB12)</f>
        <v/>
      </c>
    </row>
    <row r="21" customFormat="false" ht="15" hidden="false" customHeight="true" outlineLevel="0" collapsed="false">
      <c r="A21" s="18" t="s">
        <v>66</v>
      </c>
      <c r="B21" s="19"/>
      <c r="C21" s="31" t="n">
        <f aca="false">IFERROR(IF(OR(B19="",B19=0,C19=""),"",C19/B19-1),"")</f>
        <v>-0.185993729149015</v>
      </c>
      <c r="D21" s="31" t="n">
        <f aca="false">IFERROR(IF(OR(C19="",C19=0,D19=""),"",D19/C19-1),"")</f>
        <v>0.205341931850071</v>
      </c>
      <c r="E21" s="31" t="n">
        <f aca="false">IFERROR(IF(OR(D19="",D19=0,E19=""),"",E19/D19-1),"")</f>
        <v>0.285658001911499</v>
      </c>
      <c r="F21" s="31" t="n">
        <f aca="false">IFERROR(IF(OR(E19="",E19=0,F19=""),"",F19/E19-1),"")</f>
        <v>-0.0259017848953996</v>
      </c>
      <c r="G21" s="31" t="n">
        <f aca="false">IFERROR(IF(OR(F19="",F19=0,G19=""),"",G19/F19-1),"")</f>
        <v>-0.0423794669669835</v>
      </c>
      <c r="H21" s="31" t="n">
        <f aca="false">IFERROR(IF(OR(G19="",G19=0,H19=""),"",H19/G19-1),"")</f>
        <v>-0.0974029234968433</v>
      </c>
      <c r="I21" s="31" t="n">
        <f aca="false">IFERROR(IF(OR(H19="",H19=0,I19=""),"",I19/H19-1),"")</f>
        <v>0.00338571780000696</v>
      </c>
      <c r="J21" s="19"/>
      <c r="K21" s="31" t="n">
        <f aca="false">IFERROR(IF(OR(J19="",J19=0,K19=""),"",K19/J19-1),"")</f>
        <v>0.0811191760949257</v>
      </c>
      <c r="L21" s="31" t="n">
        <f aca="false">IFERROR(IF(OR(K19="",K19=0,L19=""),"",L19/K19-1),"")</f>
        <v>0.136243725393</v>
      </c>
      <c r="M21" s="31" t="n">
        <f aca="false">IFERROR(IF(OR(L19="",L19=0,M19=""),"",M19/L19-1),"")</f>
        <v>-0.556392380471196</v>
      </c>
      <c r="N21" s="31" t="n">
        <f aca="false">IFERROR(IF(OR(M19="",M19=0,N19=""),"",N19/M19-1),"")</f>
        <v>0.629820164092674</v>
      </c>
      <c r="O21" s="31" t="n">
        <f aca="false">IFERROR(IF(OR(N19="",N19=0,O19=""),"",O19/N19-1),"")</f>
        <v>-0.0020441026168927</v>
      </c>
      <c r="P21" s="31" t="n">
        <f aca="false">IFERROR(IF(OR(O19="",O19=0,P19=""),"",P19/O19-1),"")</f>
        <v>0.137927199762261</v>
      </c>
      <c r="Q21" s="31" t="n">
        <f aca="false">IFERROR(IF(OR(P19="",P19=0,Q19=""),"",Q19/P19-1),"")</f>
        <v>0.0322521923738814</v>
      </c>
      <c r="R21" s="31" t="n">
        <f aca="false">IFERROR(IF(OR(Q19="",Q19=0,R19=""),"",R19/Q19-1),"")</f>
        <v>-0.141210844201704</v>
      </c>
      <c r="S21" s="32" t="str">
        <f aca="false">IF(Assumptions!S13="","",Assumptions!S13)</f>
        <v/>
      </c>
      <c r="T21" s="32" t="str">
        <f aca="false">IF(Assumptions!T13="","",Assumptions!T13)</f>
        <v/>
      </c>
      <c r="U21" s="32" t="str">
        <f aca="false">IF(Assumptions!U13="","",Assumptions!U13)</f>
        <v/>
      </c>
      <c r="V21" s="31" t="n">
        <f aca="false">IFERROR(IF(OR(R19="",R19=0,V19=""),"",V19/R19-1),"")</f>
        <v>0.274262272393023</v>
      </c>
      <c r="W21" s="32" t="str">
        <f aca="false">IF(Assumptions!W13="","",Assumptions!W13)</f>
        <v/>
      </c>
      <c r="X21" s="32" t="str">
        <f aca="false">IF(Assumptions!X13="","",Assumptions!X13)</f>
        <v/>
      </c>
      <c r="Y21" s="32" t="str">
        <f aca="false">IF(Assumptions!Y13="","",Assumptions!Y13)</f>
        <v/>
      </c>
      <c r="Z21" s="32" t="str">
        <f aca="false">IF(Assumptions!Z13="","",Assumptions!Z13)</f>
        <v/>
      </c>
      <c r="AA21" s="32" t="str">
        <f aca="false">IF(Assumptions!AA13="","",Assumptions!AA13)</f>
        <v/>
      </c>
      <c r="AB21" s="32" t="str">
        <f aca="false">IF(Assumptions!AB13="","",Assumptions!AB13)</f>
        <v/>
      </c>
    </row>
    <row r="22" customFormat="false" ht="15" hidden="false" customHeight="true" outlineLevel="0" collapsed="false">
      <c r="A22" s="18" t="s">
        <v>92</v>
      </c>
      <c r="B22" s="30" t="n">
        <f aca="false">IF(B18="","",B18)</f>
        <v>18907.54575605</v>
      </c>
      <c r="C22" s="30" t="n">
        <f aca="false">IF(C18="","",C18)</f>
        <v>20102.03569232</v>
      </c>
      <c r="D22" s="30" t="n">
        <f aca="false">IF(D18="","",D18)</f>
        <v>23084.98688268</v>
      </c>
      <c r="E22" s="30" t="n">
        <f aca="false">IF(E18="","",E18)</f>
        <v>61409.36514356</v>
      </c>
      <c r="F22" s="30" t="n">
        <f aca="false">IF(F18="","",F18)</f>
        <v>69635.163722</v>
      </c>
      <c r="G22" s="30" t="n">
        <f aca="false">IF(G18="","",G18)</f>
        <v>69327.92411413</v>
      </c>
      <c r="H22" s="30" t="n">
        <f aca="false">IF(H18="","",H18)</f>
        <v>72518.2719261</v>
      </c>
      <c r="I22" s="30" t="n">
        <f aca="false">IF(I18="","",I18)</f>
        <v>84203.8104991</v>
      </c>
      <c r="J22" s="30" t="n">
        <f aca="false">IF(J18="","",J18)</f>
        <v>18513.68</v>
      </c>
      <c r="K22" s="30" t="n">
        <f aca="false">IF(K18="","",K18)</f>
        <v>21061.08</v>
      </c>
      <c r="L22" s="30" t="n">
        <f aca="false">IF(L18="","",L18)</f>
        <v>22403.04</v>
      </c>
      <c r="M22" s="30" t="n">
        <f aca="false">IF(M18="","",M18)</f>
        <v>10540.4719261</v>
      </c>
      <c r="N22" s="30" t="n">
        <f aca="false">IF(N18="","",N18)</f>
        <v>16320.12</v>
      </c>
      <c r="O22" s="30" t="n">
        <f aca="false">IF(O18="","",O18)</f>
        <v>18613.44</v>
      </c>
      <c r="P22" s="30" t="n">
        <f aca="false">IF(P18="","",P18)</f>
        <v>24385.72</v>
      </c>
      <c r="Q22" s="30" t="n">
        <f aca="false">IF(Q18="","",Q18)</f>
        <v>24884.5304991</v>
      </c>
      <c r="R22" s="30" t="n">
        <f aca="false">IF(R18="","",R18)</f>
        <v>20505.86</v>
      </c>
      <c r="S22" s="30" t="str">
        <f aca="false">IF(OR(S16="",S19=""),"",S16*S19/100)</f>
        <v/>
      </c>
      <c r="T22" s="30" t="str">
        <f aca="false">IF(OR(T16="",T19=""),"",T16*T19/100)</f>
        <v/>
      </c>
      <c r="U22" s="30" t="str">
        <f aca="false">IF(OR(U16="",U19=""),"",U16*U19/100)</f>
        <v/>
      </c>
      <c r="V22" s="30" t="n">
        <f aca="false">IF(V18="","",V18)</f>
        <v>27231.70464246</v>
      </c>
      <c r="W22" s="30" t="str">
        <f aca="false">IF(OR(W16="",W19=""),"",W16*W19/100)</f>
        <v/>
      </c>
      <c r="X22" s="30" t="str">
        <f aca="false">IF(OR(X16="",X19=""),"",X16*X19/100)</f>
        <v/>
      </c>
      <c r="Y22" s="30" t="str">
        <f aca="false">IF(OR(Y16="",Y19=""),"",Y16*Y19/100)</f>
        <v/>
      </c>
      <c r="Z22" s="30" t="str">
        <f aca="false">IF(OR(Z16="",Z19=""),"",Z16*Z19/100)</f>
        <v/>
      </c>
      <c r="AA22" s="30" t="str">
        <f aca="false">IF(OR(AA16="",AA19=""),"",AA16*AA19/100)</f>
        <v/>
      </c>
      <c r="AB22" s="30" t="str">
        <f aca="false">IF(OR(AB16="",AB19=""),"",AB16*AB19/100)</f>
        <v/>
      </c>
    </row>
    <row r="23" customFormat="false" ht="15" hidden="false" customHeight="true" outlineLevel="0" collapsed="false">
      <c r="A23" s="2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 customFormat="false" ht="15" hidden="false" customHeight="true" outlineLevel="0" collapsed="false">
      <c r="A24" s="21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customFormat="false" ht="15" hidden="false" customHeight="true" outlineLevel="0" collapsed="false">
      <c r="A25" s="17" t="s">
        <v>70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customFormat="false" ht="15" hidden="false" customHeight="true" outlineLevel="0" collapsed="false">
      <c r="A26" s="18" t="s">
        <v>88</v>
      </c>
      <c r="B26" s="29" t="n">
        <v>32.1668</v>
      </c>
      <c r="C26" s="29" t="n">
        <v>41.467</v>
      </c>
      <c r="D26" s="29" t="n">
        <v>55.4944</v>
      </c>
      <c r="E26" s="29" t="n">
        <v>76</v>
      </c>
      <c r="F26" s="29" t="n">
        <v>95</v>
      </c>
      <c r="G26" s="29" t="n">
        <v>159</v>
      </c>
      <c r="H26" s="29" t="n">
        <v>203</v>
      </c>
      <c r="I26" s="29" t="n">
        <v>256</v>
      </c>
      <c r="J26" s="29" t="n">
        <v>44</v>
      </c>
      <c r="K26" s="29" t="n">
        <v>48</v>
      </c>
      <c r="L26" s="29" t="n">
        <v>50</v>
      </c>
      <c r="M26" s="29" t="n">
        <v>61</v>
      </c>
      <c r="N26" s="29" t="n">
        <v>54</v>
      </c>
      <c r="O26" s="29" t="n">
        <v>65</v>
      </c>
      <c r="P26" s="29" t="n">
        <v>65</v>
      </c>
      <c r="Q26" s="29" t="n">
        <v>72</v>
      </c>
      <c r="R26" s="29" t="n">
        <v>73</v>
      </c>
      <c r="S26" s="30" t="str">
        <f aca="false">IF(OR(I26="",S30=""),"",I26*(1+S30))</f>
        <v/>
      </c>
      <c r="T26" s="30" t="str">
        <f aca="false">IF(OR(S26="",T30=""),"",S26*(1+T30))</f>
        <v/>
      </c>
      <c r="U26" s="30" t="str">
        <f aca="false">IF(OR(T26="",U30=""),"",T26*(1+U30))</f>
        <v/>
      </c>
      <c r="V26" s="29" t="n">
        <v>75</v>
      </c>
      <c r="W26" s="30" t="str">
        <f aca="false">IF(OR(V26="",W30=""),"",V26*(1+W30))</f>
        <v/>
      </c>
      <c r="X26" s="30" t="str">
        <f aca="false">IF(OR(W26="",X30=""),"",W26*(1+X30))</f>
        <v/>
      </c>
      <c r="Y26" s="30" t="str">
        <f aca="false">IF(OR(X26="",Y30=""),"",X26*(1+Y30))</f>
        <v/>
      </c>
      <c r="Z26" s="30" t="str">
        <f aca="false">IF(OR(Y26="",Z30=""),"",Y26*(1+Z30))</f>
        <v/>
      </c>
      <c r="AA26" s="30" t="str">
        <f aca="false">IF(OR(Z26="",AA30=""),"",Z26*(1+AA30))</f>
        <v/>
      </c>
      <c r="AB26" s="30" t="str">
        <f aca="false">IF(OR(AA26="",AB30=""),"",AA26*(1+AB30))</f>
        <v/>
      </c>
    </row>
    <row r="27" customFormat="false" ht="15" hidden="false" customHeight="true" outlineLevel="0" collapsed="false">
      <c r="A27" s="18" t="s">
        <v>89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customFormat="false" ht="15" hidden="false" customHeight="true" outlineLevel="0" collapsed="false">
      <c r="A28" s="18" t="s">
        <v>90</v>
      </c>
      <c r="B28" s="29" t="n">
        <v>5702.96237442</v>
      </c>
      <c r="C28" s="29" t="n">
        <v>7087.78102556</v>
      </c>
      <c r="D28" s="29" t="n">
        <v>7947.85768248</v>
      </c>
      <c r="E28" s="29" t="n">
        <v>15463.78837532</v>
      </c>
      <c r="F28" s="29" t="n">
        <v>20124.15835568</v>
      </c>
      <c r="G28" s="29" t="n">
        <v>23836.06249747</v>
      </c>
      <c r="H28" s="29" t="n">
        <v>28273.08050047</v>
      </c>
      <c r="I28" s="29" t="n">
        <v>33189.1296427</v>
      </c>
      <c r="J28" s="29" t="n">
        <v>6105.04</v>
      </c>
      <c r="K28" s="29" t="n">
        <v>6873.64</v>
      </c>
      <c r="L28" s="29" t="n">
        <v>7020.42</v>
      </c>
      <c r="M28" s="29" t="n">
        <v>8273.98050047</v>
      </c>
      <c r="N28" s="29" t="n">
        <v>7370.45</v>
      </c>
      <c r="O28" s="29" t="n">
        <v>8257.62</v>
      </c>
      <c r="P28" s="29" t="n">
        <v>8183.38</v>
      </c>
      <c r="Q28" s="29" t="n">
        <v>9377.6796427</v>
      </c>
      <c r="R28" s="29" t="n">
        <v>10344.79</v>
      </c>
      <c r="S28" s="19"/>
      <c r="T28" s="19"/>
      <c r="U28" s="19"/>
      <c r="V28" s="29" t="n">
        <v>12202.90927628</v>
      </c>
      <c r="W28" s="19"/>
      <c r="X28" s="19"/>
      <c r="Y28" s="19"/>
      <c r="Z28" s="19"/>
      <c r="AA28" s="19"/>
      <c r="AB28" s="19"/>
    </row>
    <row r="29" customFormat="false" ht="15" hidden="false" customHeight="true" outlineLevel="0" collapsed="false">
      <c r="A29" s="18" t="s">
        <v>91</v>
      </c>
      <c r="B29" s="26" t="n">
        <f aca="false">IFERROR(IF(OR(B26="",B26=0,B28=""),"",B28/B26*100),"")</f>
        <v>17729.3432185359</v>
      </c>
      <c r="C29" s="26" t="n">
        <f aca="false">IFERROR(IF(OR(C26="",C26=0,C28=""),"",C28/C26*100),"")</f>
        <v>17092.5821148383</v>
      </c>
      <c r="D29" s="26" t="n">
        <f aca="false">IFERROR(IF(OR(D26="",D26=0,D28=""),"",D28/D26*100),"")</f>
        <v>14321.9093863165</v>
      </c>
      <c r="E29" s="26" t="n">
        <f aca="false">IFERROR(IF(OR(E26="",E26=0,E28=""),"",E28/E26*100),"")</f>
        <v>20347.0899675263</v>
      </c>
      <c r="F29" s="26" t="n">
        <f aca="false">IFERROR(IF(OR(F26="",F26=0,F28=""),"",F28/F26*100),"")</f>
        <v>21183.3245849263</v>
      </c>
      <c r="G29" s="26" t="n">
        <f aca="false">IFERROR(IF(OR(G26="",G26=0,G28=""),"",G28/G26*100),"")</f>
        <v>14991.2342751384</v>
      </c>
      <c r="H29" s="26" t="n">
        <f aca="false">IFERROR(IF(OR(H26="",H26=0,H28=""),"",H28/H26*100),"")</f>
        <v>13927.6258623005</v>
      </c>
      <c r="I29" s="26" t="n">
        <f aca="false">IFERROR(IF(OR(I26="",I26=0,I28=""),"",I28/I26*100),"")</f>
        <v>12964.5037666797</v>
      </c>
      <c r="J29" s="26" t="n">
        <f aca="false">IFERROR(IF(OR(J26="",J26=0,J28=""),"",J28/J26*100),"")</f>
        <v>13875.0909090909</v>
      </c>
      <c r="K29" s="26" t="n">
        <f aca="false">IFERROR(IF(OR(K26="",K26=0,K28=""),"",K28/K26*100),"")</f>
        <v>14320.0833333333</v>
      </c>
      <c r="L29" s="26" t="n">
        <f aca="false">IFERROR(IF(OR(L26="",L26=0,L28=""),"",L28/L26*100),"")</f>
        <v>14040.84</v>
      </c>
      <c r="M29" s="26" t="n">
        <f aca="false">IFERROR(IF(OR(M26="",M26=0,M28=""),"",M28/M26*100),"")</f>
        <v>13563.9024597869</v>
      </c>
      <c r="N29" s="26" t="n">
        <f aca="false">IFERROR(IF(OR(N26="",N26=0,N28=""),"",N28/N26*100),"")</f>
        <v>13648.9814814815</v>
      </c>
      <c r="O29" s="26" t="n">
        <f aca="false">IFERROR(IF(OR(O26="",O26=0,O28=""),"",O28/O26*100),"")</f>
        <v>12704.0307692308</v>
      </c>
      <c r="P29" s="26" t="n">
        <f aca="false">IFERROR(IF(OR(P26="",P26=0,P28=""),"",P28/P26*100),"")</f>
        <v>12589.8153846154</v>
      </c>
      <c r="Q29" s="26" t="n">
        <f aca="false">IFERROR(IF(OR(Q26="",Q26=0,Q28=""),"",Q28/Q26*100),"")</f>
        <v>13024.5550593056</v>
      </c>
      <c r="R29" s="26" t="n">
        <f aca="false">IFERROR(IF(OR(R26="",R26=0,R28=""),"",R28/R26*100),"")</f>
        <v>14170.9452054795</v>
      </c>
      <c r="S29" s="26" t="str">
        <f aca="false">IF(OR(I29="",S31=""),"",I29*(1+S31))</f>
        <v/>
      </c>
      <c r="T29" s="26" t="str">
        <f aca="false">IF(OR(S29="",T31=""),"",S29*(1+T31))</f>
        <v/>
      </c>
      <c r="U29" s="26" t="str">
        <f aca="false">IF(OR(T29="",U31=""),"",T29*(1+U31))</f>
        <v/>
      </c>
      <c r="V29" s="26" t="n">
        <f aca="false">IFERROR(IF(OR(V26="",V26=0,V28=""),"",V28/V26*100),"")</f>
        <v>16270.5457017067</v>
      </c>
      <c r="W29" s="26" t="str">
        <f aca="false">IF(OR(V29="",W31=""),"",V29*(1+W31))</f>
        <v/>
      </c>
      <c r="X29" s="26" t="str">
        <f aca="false">IF(OR(W29="",X31=""),"",W29*(1+X31))</f>
        <v/>
      </c>
      <c r="Y29" s="26" t="str">
        <f aca="false">IF(OR(X29="",Y31=""),"",X29*(1+Y31))</f>
        <v/>
      </c>
      <c r="Z29" s="26" t="str">
        <f aca="false">IF(OR(Y29="",Z31=""),"",Y29*(1+Z31))</f>
        <v/>
      </c>
      <c r="AA29" s="26" t="str">
        <f aca="false">IF(OR(Z29="",AA31=""),"",Z29*(1+AA31))</f>
        <v/>
      </c>
      <c r="AB29" s="26" t="str">
        <f aca="false">IF(OR(AA29="",AB31=""),"",AA29*(1+AB31))</f>
        <v/>
      </c>
    </row>
    <row r="30" customFormat="false" ht="15" hidden="false" customHeight="true" outlineLevel="0" collapsed="false">
      <c r="A30" s="18" t="s">
        <v>65</v>
      </c>
      <c r="B30" s="19"/>
      <c r="C30" s="31" t="n">
        <f aca="false">IFERROR(IF(OR(B26="",B26=0,C26=""),"",C26/B26-1),"")</f>
        <v>0.289124190158797</v>
      </c>
      <c r="D30" s="31" t="n">
        <f aca="false">IFERROR(IF(OR(C26="",C26=0,D26=""),"",D26/C26-1),"")</f>
        <v>0.338278631200714</v>
      </c>
      <c r="E30" s="31" t="n">
        <f aca="false">IFERROR(IF(OR(D26="",D26=0,E26=""),"",E26/D26-1),"")</f>
        <v>0.36950755391535</v>
      </c>
      <c r="F30" s="31" t="n">
        <f aca="false">IFERROR(IF(OR(E26="",E26=0,F26=""),"",F26/E26-1),"")</f>
        <v>0.25</v>
      </c>
      <c r="G30" s="31" t="n">
        <f aca="false">IFERROR(IF(OR(F26="",F26=0,G26=""),"",G26/F26-1),"")</f>
        <v>0.673684210526316</v>
      </c>
      <c r="H30" s="31" t="n">
        <f aca="false">IFERROR(IF(OR(G26="",G26=0,H26=""),"",H26/G26-1),"")</f>
        <v>0.276729559748428</v>
      </c>
      <c r="I30" s="31" t="n">
        <f aca="false">IFERROR(IF(OR(H26="",H26=0,I26=""),"",I26/H26-1),"")</f>
        <v>0.261083743842365</v>
      </c>
      <c r="J30" s="19"/>
      <c r="K30" s="31" t="n">
        <f aca="false">IFERROR(IF(OR(J26="",J26=0,K26=""),"",K26/J26-1),"")</f>
        <v>0.0909090909090908</v>
      </c>
      <c r="L30" s="31" t="n">
        <f aca="false">IFERROR(IF(OR(K26="",K26=0,L26=""),"",L26/K26-1),"")</f>
        <v>0.0416666666666667</v>
      </c>
      <c r="M30" s="31" t="n">
        <f aca="false">IFERROR(IF(OR(L26="",L26=0,M26=""),"",M26/L26-1),"")</f>
        <v>0.22</v>
      </c>
      <c r="N30" s="31" t="n">
        <f aca="false">IFERROR(IF(OR(M26="",M26=0,N26=""),"",N26/M26-1),"")</f>
        <v>-0.114754098360656</v>
      </c>
      <c r="O30" s="31" t="n">
        <f aca="false">IFERROR(IF(OR(N26="",N26=0,O26=""),"",O26/N26-1),"")</f>
        <v>0.203703703703704</v>
      </c>
      <c r="P30" s="31" t="n">
        <f aca="false">IFERROR(IF(OR(O26="",O26=0,P26=""),"",P26/O26-1),"")</f>
        <v>0</v>
      </c>
      <c r="Q30" s="31" t="n">
        <f aca="false">IFERROR(IF(OR(P26="",P26=0,Q26=""),"",Q26/P26-1),"")</f>
        <v>0.107692307692308</v>
      </c>
      <c r="R30" s="31" t="n">
        <f aca="false">IFERROR(IF(OR(Q26="",Q26=0,R26=""),"",R26/Q26-1),"")</f>
        <v>0.0138888888888888</v>
      </c>
      <c r="S30" s="32" t="str">
        <f aca="false">IF(Assumptions!S18="","",Assumptions!S18)</f>
        <v/>
      </c>
      <c r="T30" s="32" t="str">
        <f aca="false">IF(Assumptions!T18="","",Assumptions!T18)</f>
        <v/>
      </c>
      <c r="U30" s="32" t="str">
        <f aca="false">IF(Assumptions!U18="","",Assumptions!U18)</f>
        <v/>
      </c>
      <c r="V30" s="31" t="n">
        <f aca="false">IFERROR(IF(OR(R26="",R26=0,V26=""),"",V26/R26-1),"")</f>
        <v>0.0273972602739727</v>
      </c>
      <c r="W30" s="32" t="str">
        <f aca="false">IF(Assumptions!W18="","",Assumptions!W18)</f>
        <v/>
      </c>
      <c r="X30" s="32" t="str">
        <f aca="false">IF(Assumptions!X18="","",Assumptions!X18)</f>
        <v/>
      </c>
      <c r="Y30" s="32" t="str">
        <f aca="false">IF(Assumptions!Y18="","",Assumptions!Y18)</f>
        <v/>
      </c>
      <c r="Z30" s="32" t="str">
        <f aca="false">IF(Assumptions!Z18="","",Assumptions!Z18)</f>
        <v/>
      </c>
      <c r="AA30" s="32" t="str">
        <f aca="false">IF(Assumptions!AA18="","",Assumptions!AA18)</f>
        <v/>
      </c>
      <c r="AB30" s="32" t="str">
        <f aca="false">IF(Assumptions!AB18="","",Assumptions!AB18)</f>
        <v/>
      </c>
    </row>
    <row r="31" customFormat="false" ht="15" hidden="false" customHeight="true" outlineLevel="0" collapsed="false">
      <c r="A31" s="18" t="s">
        <v>66</v>
      </c>
      <c r="B31" s="19"/>
      <c r="C31" s="31" t="n">
        <f aca="false">IFERROR(IF(OR(B29="",B29=0,C29=""),"",C29/B29-1),"")</f>
        <v>-0.0359156622920949</v>
      </c>
      <c r="D31" s="31" t="n">
        <f aca="false">IFERROR(IF(OR(C29="",C29=0,D29=""),"",D29/C29-1),"")</f>
        <v>-0.162097962139763</v>
      </c>
      <c r="E31" s="31" t="n">
        <f aca="false">IFERROR(IF(OR(D29="",D29=0,E29=""),"",E29/D29-1),"")</f>
        <v>0.420696739428228</v>
      </c>
      <c r="F31" s="31" t="n">
        <f aca="false">IFERROR(IF(OR(E29="",E29=0,F29=""),"",F29/E29-1),"")</f>
        <v>0.0410984872399256</v>
      </c>
      <c r="G31" s="31" t="n">
        <f aca="false">IFERROR(IF(OR(F29="",F29=0,G29=""),"",G29/F29-1),"")</f>
        <v>-0.292309655406694</v>
      </c>
      <c r="H31" s="31" t="n">
        <f aca="false">IFERROR(IF(OR(G29="",G29=0,H29=""),"",H29/G29-1),"")</f>
        <v>-0.0709486886347824</v>
      </c>
      <c r="I31" s="31" t="n">
        <f aca="false">IFERROR(IF(OR(H29="",H29=0,I29=""),"",I29/H29-1),"")</f>
        <v>-0.0691519218812303</v>
      </c>
      <c r="J31" s="19"/>
      <c r="K31" s="31" t="n">
        <f aca="false">IFERROR(IF(OR(J29="",J29=0,K29=""),"",K29/J29-1),"")</f>
        <v>0.0320713159400541</v>
      </c>
      <c r="L31" s="31" t="n">
        <f aca="false">IFERROR(IF(OR(K29="",K29=0,L29=""),"",L29/K29-1),"")</f>
        <v>-0.0195001192963264</v>
      </c>
      <c r="M31" s="31" t="n">
        <f aca="false">IFERROR(IF(OR(L29="",L29=0,M29=""),"",M29/L29-1),"")</f>
        <v>-0.0339678780053839</v>
      </c>
      <c r="N31" s="31" t="n">
        <f aca="false">IFERROR(IF(OR(M29="",M29=0,N29=""),"",N29/M29-1),"")</f>
        <v>0.00627245897313355</v>
      </c>
      <c r="O31" s="31" t="n">
        <f aca="false">IFERROR(IF(OR(N29="",N29=0,O29=""),"",O29/N29-1),"")</f>
        <v>-0.069232324297076</v>
      </c>
      <c r="P31" s="31" t="n">
        <f aca="false">IFERROR(IF(OR(O29="",O29=0,P29=""),"",P29/O29-1),"")</f>
        <v>-0.00899048394089341</v>
      </c>
      <c r="Q31" s="31" t="n">
        <f aca="false">IFERROR(IF(OR(P29="",P29=0,Q29=""),"",Q29/P29-1),"")</f>
        <v>0.0345310603379789</v>
      </c>
      <c r="R31" s="31" t="n">
        <f aca="false">IFERROR(IF(OR(Q29="",Q29=0,R29=""),"",R29/Q29-1),"")</f>
        <v>0.0880176052812525</v>
      </c>
      <c r="S31" s="32" t="str">
        <f aca="false">IF(Assumptions!S19="","",Assumptions!S19)</f>
        <v/>
      </c>
      <c r="T31" s="32" t="str">
        <f aca="false">IF(Assumptions!T19="","",Assumptions!T19)</f>
        <v/>
      </c>
      <c r="U31" s="32" t="str">
        <f aca="false">IF(Assumptions!U19="","",Assumptions!U19)</f>
        <v/>
      </c>
      <c r="V31" s="31" t="n">
        <f aca="false">IFERROR(IF(OR(R29="",R29=0,V29=""),"",V29/R29-1),"")</f>
        <v>0.148162346673627</v>
      </c>
      <c r="W31" s="32" t="str">
        <f aca="false">IF(Assumptions!W19="","",Assumptions!W19)</f>
        <v/>
      </c>
      <c r="X31" s="32" t="str">
        <f aca="false">IF(Assumptions!X19="","",Assumptions!X19)</f>
        <v/>
      </c>
      <c r="Y31" s="32" t="str">
        <f aca="false">IF(Assumptions!Y19="","",Assumptions!Y19)</f>
        <v/>
      </c>
      <c r="Z31" s="32" t="str">
        <f aca="false">IF(Assumptions!Z19="","",Assumptions!Z19)</f>
        <v/>
      </c>
      <c r="AA31" s="32" t="str">
        <f aca="false">IF(Assumptions!AA19="","",Assumptions!AA19)</f>
        <v/>
      </c>
      <c r="AB31" s="32" t="str">
        <f aca="false">IF(Assumptions!AB19="","",Assumptions!AB19)</f>
        <v/>
      </c>
    </row>
    <row r="32" customFormat="false" ht="15" hidden="false" customHeight="true" outlineLevel="0" collapsed="false">
      <c r="A32" s="18" t="s">
        <v>92</v>
      </c>
      <c r="B32" s="30" t="n">
        <f aca="false">IF(B28="","",B28)</f>
        <v>5702.96237442</v>
      </c>
      <c r="C32" s="30" t="n">
        <f aca="false">IF(C28="","",C28)</f>
        <v>7087.78102556</v>
      </c>
      <c r="D32" s="30" t="n">
        <f aca="false">IF(D28="","",D28)</f>
        <v>7947.85768248</v>
      </c>
      <c r="E32" s="30" t="n">
        <f aca="false">IF(E28="","",E28)</f>
        <v>15463.78837532</v>
      </c>
      <c r="F32" s="30" t="n">
        <f aca="false">IF(F28="","",F28)</f>
        <v>20124.15835568</v>
      </c>
      <c r="G32" s="30" t="n">
        <f aca="false">IF(G28="","",G28)</f>
        <v>23836.06249747</v>
      </c>
      <c r="H32" s="30" t="n">
        <f aca="false">IF(H28="","",H28)</f>
        <v>28273.08050047</v>
      </c>
      <c r="I32" s="30" t="n">
        <f aca="false">IF(I28="","",I28)</f>
        <v>33189.1296427</v>
      </c>
      <c r="J32" s="30" t="n">
        <f aca="false">IF(J28="","",J28)</f>
        <v>6105.04</v>
      </c>
      <c r="K32" s="30" t="n">
        <f aca="false">IF(K28="","",K28)</f>
        <v>6873.64</v>
      </c>
      <c r="L32" s="30" t="n">
        <f aca="false">IF(L28="","",L28)</f>
        <v>7020.42</v>
      </c>
      <c r="M32" s="30" t="n">
        <f aca="false">IF(M28="","",M28)</f>
        <v>8273.98050047</v>
      </c>
      <c r="N32" s="30" t="n">
        <f aca="false">IF(N28="","",N28)</f>
        <v>7370.45</v>
      </c>
      <c r="O32" s="30" t="n">
        <f aca="false">IF(O28="","",O28)</f>
        <v>8257.62</v>
      </c>
      <c r="P32" s="30" t="n">
        <f aca="false">IF(P28="","",P28)</f>
        <v>8183.38</v>
      </c>
      <c r="Q32" s="30" t="n">
        <f aca="false">IF(Q28="","",Q28)</f>
        <v>9377.6796427</v>
      </c>
      <c r="R32" s="30" t="n">
        <f aca="false">IF(R28="","",R28)</f>
        <v>10344.79</v>
      </c>
      <c r="S32" s="30" t="str">
        <f aca="false">IF(OR(S26="",S29=""),"",S26*S29/100)</f>
        <v/>
      </c>
      <c r="T32" s="30" t="str">
        <f aca="false">IF(OR(T26="",T29=""),"",T26*T29/100)</f>
        <v/>
      </c>
      <c r="U32" s="30" t="str">
        <f aca="false">IF(OR(U26="",U29=""),"",U26*U29/100)</f>
        <v/>
      </c>
      <c r="V32" s="30" t="n">
        <f aca="false">IF(V28="","",V28)</f>
        <v>12202.90927628</v>
      </c>
      <c r="W32" s="30" t="str">
        <f aca="false">IF(OR(W26="",W29=""),"",W26*W29/100)</f>
        <v/>
      </c>
      <c r="X32" s="30" t="str">
        <f aca="false">IF(OR(X26="",X29=""),"",X26*X29/100)</f>
        <v/>
      </c>
      <c r="Y32" s="30" t="str">
        <f aca="false">IF(OR(Y26="",Y29=""),"",Y26*Y29/100)</f>
        <v/>
      </c>
      <c r="Z32" s="30" t="str">
        <f aca="false">IF(OR(Z26="",Z29=""),"",Z26*Z29/100)</f>
        <v/>
      </c>
      <c r="AA32" s="30" t="str">
        <f aca="false">IF(OR(AA26="",AA29=""),"",AA26*AA29/100)</f>
        <v/>
      </c>
      <c r="AB32" s="30" t="str">
        <f aca="false">IF(OR(AB26="",AB29=""),"",AB26*AB29/100)</f>
        <v/>
      </c>
    </row>
    <row r="33" customFormat="false" ht="15" hidden="false" customHeight="true" outlineLevel="0" collapsed="false">
      <c r="A33" s="2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</row>
    <row r="34" customFormat="false" ht="15" hidden="false" customHeight="true" outlineLevel="0" collapsed="false">
      <c r="A34" s="21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</row>
  </sheetData>
  <mergeCells count="5">
    <mergeCell ref="A1:AB1"/>
    <mergeCell ref="A2:AB2"/>
    <mergeCell ref="A5:AB5"/>
    <mergeCell ref="A15:AB15"/>
    <mergeCell ref="A25:A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49.13"/>
    <col collapsed="false" customWidth="true" hidden="false" outlineLevel="0" max="28" min="2" style="1" width="11.83"/>
  </cols>
  <sheetData>
    <row r="1" customFormat="false" ht="18" hidden="false" customHeight="true" outlineLevel="0" collapsed="false">
      <c r="A1" s="13" t="s">
        <v>93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customFormat="false" ht="15" hidden="false" customHeight="true" outlineLevel="0" collapsed="false">
      <c r="A2" s="3" t="s">
        <v>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4" customFormat="false" ht="15" hidden="false" customHeight="true" outlineLevel="0" collapsed="false">
      <c r="A4" s="14" t="s">
        <v>36</v>
      </c>
      <c r="B4" s="14" t="s">
        <v>37</v>
      </c>
      <c r="C4" s="14" t="s">
        <v>38</v>
      </c>
      <c r="D4" s="14" t="s">
        <v>39</v>
      </c>
      <c r="E4" s="14" t="s">
        <v>40</v>
      </c>
      <c r="F4" s="14" t="s">
        <v>41</v>
      </c>
      <c r="G4" s="14" t="s">
        <v>42</v>
      </c>
      <c r="H4" s="14" t="s">
        <v>43</v>
      </c>
      <c r="I4" s="14" t="s">
        <v>44</v>
      </c>
      <c r="J4" s="15" t="s">
        <v>45</v>
      </c>
      <c r="K4" s="15" t="s">
        <v>46</v>
      </c>
      <c r="L4" s="15" t="s">
        <v>47</v>
      </c>
      <c r="M4" s="15" t="s">
        <v>48</v>
      </c>
      <c r="N4" s="15" t="s">
        <v>49</v>
      </c>
      <c r="O4" s="15" t="s">
        <v>50</v>
      </c>
      <c r="P4" s="15" t="s">
        <v>51</v>
      </c>
      <c r="Q4" s="15" t="s">
        <v>52</v>
      </c>
      <c r="R4" s="15" t="s">
        <v>53</v>
      </c>
      <c r="S4" s="16" t="s">
        <v>54</v>
      </c>
      <c r="T4" s="16" t="s">
        <v>55</v>
      </c>
      <c r="U4" s="16" t="s">
        <v>56</v>
      </c>
      <c r="V4" s="15" t="s">
        <v>57</v>
      </c>
      <c r="W4" s="16" t="s">
        <v>58</v>
      </c>
      <c r="X4" s="16" t="s">
        <v>59</v>
      </c>
      <c r="Y4" s="16" t="s">
        <v>60</v>
      </c>
      <c r="Z4" s="16" t="s">
        <v>61</v>
      </c>
      <c r="AA4" s="16" t="s">
        <v>62</v>
      </c>
      <c r="AB4" s="16" t="s">
        <v>63</v>
      </c>
    </row>
    <row r="5" customFormat="false" ht="15" hidden="false" customHeight="true" outlineLevel="0" collapsed="false">
      <c r="A5" s="17" t="s">
        <v>64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customFormat="false" ht="15" hidden="false" customHeight="true" outlineLevel="0" collapsed="false">
      <c r="A6" s="18" t="s">
        <v>95</v>
      </c>
      <c r="B6" s="33" t="n">
        <f aca="false">'Volume-Price'!B6</f>
        <v>188.7114</v>
      </c>
      <c r="C6" s="33" t="n">
        <f aca="false">'Volume-Price'!C6</f>
        <v>261.9603</v>
      </c>
      <c r="D6" s="33" t="n">
        <f aca="false">'Volume-Price'!D6</f>
        <v>288.4384</v>
      </c>
      <c r="E6" s="33" t="n">
        <f aca="false">'Volume-Price'!E6</f>
        <v>389</v>
      </c>
      <c r="F6" s="33" t="n">
        <f aca="false">'Volume-Price'!F6</f>
        <v>418</v>
      </c>
      <c r="G6" s="33" t="n">
        <f aca="false">'Volume-Price'!G6</f>
        <v>489</v>
      </c>
      <c r="H6" s="33" t="n">
        <f aca="false">'Volume-Price'!H6</f>
        <v>564</v>
      </c>
      <c r="I6" s="33" t="n">
        <f aca="false">'Volume-Price'!I6</f>
        <v>631</v>
      </c>
      <c r="J6" s="33" t="n">
        <f aca="false">'Volume-Price'!J6</f>
        <v>131</v>
      </c>
      <c r="K6" s="33" t="n">
        <f aca="false">'Volume-Price'!K6</f>
        <v>138</v>
      </c>
      <c r="L6" s="33" t="n">
        <f aca="false">'Volume-Price'!L6</f>
        <v>141</v>
      </c>
      <c r="M6" s="33" t="n">
        <f aca="false">'Volume-Price'!M6</f>
        <v>154</v>
      </c>
      <c r="N6" s="33" t="n">
        <f aca="false">'Volume-Price'!N6</f>
        <v>145</v>
      </c>
      <c r="O6" s="33" t="n">
        <f aca="false">'Volume-Price'!O6</f>
        <v>158</v>
      </c>
      <c r="P6" s="33" t="n">
        <f aca="false">'Volume-Price'!P6</f>
        <v>155</v>
      </c>
      <c r="Q6" s="33" t="n">
        <f aca="false">'Volume-Price'!Q6</f>
        <v>173</v>
      </c>
      <c r="R6" s="33" t="n">
        <f aca="false">'Volume-Price'!R6</f>
        <v>165</v>
      </c>
      <c r="S6" s="33" t="str">
        <f aca="false">'Volume-Price'!S6</f>
        <v/>
      </c>
      <c r="T6" s="33" t="str">
        <f aca="false">'Volume-Price'!T6</f>
        <v/>
      </c>
      <c r="U6" s="33" t="str">
        <f aca="false">'Volume-Price'!U6</f>
        <v/>
      </c>
      <c r="V6" s="33" t="n">
        <f aca="false">'Volume-Price'!V6</f>
        <v>161</v>
      </c>
      <c r="W6" s="33" t="str">
        <f aca="false">'Volume-Price'!W6</f>
        <v/>
      </c>
      <c r="X6" s="33" t="str">
        <f aca="false">'Volume-Price'!X6</f>
        <v/>
      </c>
      <c r="Y6" s="33" t="str">
        <f aca="false">'Volume-Price'!Y6</f>
        <v/>
      </c>
      <c r="Z6" s="33" t="str">
        <f aca="false">'Volume-Price'!Z6</f>
        <v/>
      </c>
      <c r="AA6" s="33" t="str">
        <f aca="false">'Volume-Price'!AA6</f>
        <v/>
      </c>
      <c r="AB6" s="33" t="str">
        <f aca="false">'Volume-Price'!AB6</f>
        <v/>
      </c>
    </row>
    <row r="7" customFormat="false" ht="15" hidden="false" customHeight="true" outlineLevel="0" collapsed="false">
      <c r="A7" s="18" t="s">
        <v>96</v>
      </c>
      <c r="B7" s="29" t="n">
        <v>15384.31398307</v>
      </c>
      <c r="C7" s="29" t="n">
        <v>18687.94734062</v>
      </c>
      <c r="D7" s="29" t="n">
        <v>19441.71583218</v>
      </c>
      <c r="E7" s="29" t="n">
        <v>39277.4351554</v>
      </c>
      <c r="F7" s="29" t="n">
        <v>47518.32559915</v>
      </c>
      <c r="G7" s="29" t="n">
        <v>48725.30024066</v>
      </c>
      <c r="H7" s="29" t="n">
        <v>56009.19172771</v>
      </c>
      <c r="I7" s="29" t="n">
        <v>54880.84599801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customFormat="false" ht="15" hidden="false" customHeight="true" outlineLevel="0" collapsed="false">
      <c r="A8" s="18" t="s">
        <v>97</v>
      </c>
      <c r="B8" s="26" t="n">
        <f aca="false">IFERROR(IF(OR(B6="",B6=0,B7=""),"",B7/B6*100),"")</f>
        <v>8152.29709655591</v>
      </c>
      <c r="C8" s="26" t="n">
        <f aca="false">IFERROR(IF(OR(C6="",C6=0,C7=""),"",C7/C6*100),"")</f>
        <v>7133.88530270426</v>
      </c>
      <c r="D8" s="26" t="n">
        <f aca="false">IFERROR(IF(OR(D6="",D6=0,D7=""),"",D7/D6*100),"")</f>
        <v>6740.33548659957</v>
      </c>
      <c r="E8" s="26" t="n">
        <f aca="false">IFERROR(IF(OR(E6="",E6=0,E7=""),"",E7/E6*100),"")</f>
        <v>10097.0270322365</v>
      </c>
      <c r="F8" s="26" t="n">
        <f aca="false">IFERROR(IF(OR(F6="",F6=0,F7=""),"",F7/F6*100),"")</f>
        <v>11368.0204782656</v>
      </c>
      <c r="G8" s="26" t="n">
        <f aca="false">IFERROR(IF(OR(G6="",G6=0,G7=""),"",G7/G6*100),"")</f>
        <v>9964.27407784458</v>
      </c>
      <c r="H8" s="26" t="n">
        <f aca="false">IFERROR(IF(OR(H6="",H6=0,H7=""),"",H7/H6*100),"")</f>
        <v>9930.70775314007</v>
      </c>
      <c r="I8" s="26" t="n">
        <f aca="false">IFERROR(IF(OR(I6="",I6=0,I7=""),"",I7/I6*100),"")</f>
        <v>8697.43993629319</v>
      </c>
      <c r="J8" s="26" t="str">
        <f aca="false">IFERROR(IF(OR(J6="",J6=0,J7=""),"",J7/J6*100),"")</f>
        <v/>
      </c>
      <c r="K8" s="26" t="str">
        <f aca="false">IFERROR(IF(OR(K6="",K6=0,K7=""),"",K7/K6*100),"")</f>
        <v/>
      </c>
      <c r="L8" s="26" t="str">
        <f aca="false">IFERROR(IF(OR(L6="",L6=0,L7=""),"",L7/L6*100),"")</f>
        <v/>
      </c>
      <c r="M8" s="26" t="str">
        <f aca="false">IFERROR(IF(OR(M6="",M6=0,M7=""),"",M7/M6*100),"")</f>
        <v/>
      </c>
      <c r="N8" s="26" t="str">
        <f aca="false">IFERROR(IF(OR(N6="",N6=0,N7=""),"",N7/N6*100),"")</f>
        <v/>
      </c>
      <c r="O8" s="26" t="str">
        <f aca="false">IFERROR(IF(OR(O6="",O6=0,O7=""),"",O7/O6*100),"")</f>
        <v/>
      </c>
      <c r="P8" s="26" t="str">
        <f aca="false">IFERROR(IF(OR(P6="",P6=0,P7=""),"",P7/P6*100),"")</f>
        <v/>
      </c>
      <c r="Q8" s="26" t="str">
        <f aca="false">IFERROR(IF(OR(Q6="",Q6=0,Q7=""),"",Q7/Q6*100),"")</f>
        <v/>
      </c>
      <c r="R8" s="26" t="str">
        <f aca="false">IFERROR(IF(OR(R6="",R6=0,R7=""),"",R7/R6*100),"")</f>
        <v/>
      </c>
      <c r="S8" s="26" t="str">
        <f aca="false">IFERROR(IF(OR(S6="",S6=0,S7=""),"",S7/S6*100),"")</f>
        <v/>
      </c>
      <c r="T8" s="26" t="str">
        <f aca="false">IFERROR(IF(OR(T6="",T6=0,T7=""),"",T7/T6*100),"")</f>
        <v/>
      </c>
      <c r="U8" s="26" t="str">
        <f aca="false">IFERROR(IF(OR(U6="",U6=0,U7=""),"",U7/U6*100),"")</f>
        <v/>
      </c>
      <c r="V8" s="26" t="str">
        <f aca="false">IFERROR(IF(OR(V6="",V6=0,V7=""),"",V7/V6*100),"")</f>
        <v/>
      </c>
      <c r="W8" s="26" t="str">
        <f aca="false">IFERROR(IF(OR(W6="",W6=0,W7=""),"",W7/W6*100),"")</f>
        <v/>
      </c>
      <c r="X8" s="26" t="str">
        <f aca="false">IFERROR(IF(OR(X6="",X6=0,X7=""),"",X7/X6*100),"")</f>
        <v/>
      </c>
      <c r="Y8" s="26" t="str">
        <f aca="false">IFERROR(IF(OR(Y6="",Y6=0,Y7=""),"",Y7/Y6*100),"")</f>
        <v/>
      </c>
      <c r="Z8" s="26" t="str">
        <f aca="false">IFERROR(IF(OR(Z6="",Z6=0,Z7=""),"",Z7/Z6*100),"")</f>
        <v/>
      </c>
      <c r="AA8" s="26" t="str">
        <f aca="false">IFERROR(IF(OR(AA6="",AA6=0,AA7=""),"",AA7/AA6*100),"")</f>
        <v/>
      </c>
      <c r="AB8" s="26" t="str">
        <f aca="false">IFERROR(IF(OR(AB6="",AB6=0,AB7=""),"",AB7/AB6*100),"")</f>
        <v/>
      </c>
    </row>
    <row r="9" customFormat="false" ht="15" hidden="false" customHeight="true" outlineLevel="0" collapsed="false">
      <c r="A9" s="18" t="s">
        <v>98</v>
      </c>
      <c r="B9" s="34" t="n">
        <v>0.7223</v>
      </c>
      <c r="C9" s="34" t="n">
        <v>0.6895</v>
      </c>
      <c r="D9" s="34" t="n">
        <v>0.6882</v>
      </c>
      <c r="E9" s="34" t="n">
        <v>0.745</v>
      </c>
      <c r="F9" s="34" t="n">
        <v>0.7523</v>
      </c>
      <c r="G9" s="34" t="n">
        <v>0.7456</v>
      </c>
      <c r="H9" s="34" t="n">
        <v>0.7435</v>
      </c>
      <c r="I9" s="34" t="n">
        <v>0.7368</v>
      </c>
      <c r="J9" s="19"/>
      <c r="K9" s="19"/>
      <c r="L9" s="19"/>
      <c r="M9" s="19"/>
      <c r="N9" s="19"/>
      <c r="O9" s="19"/>
      <c r="P9" s="19"/>
      <c r="Q9" s="19"/>
      <c r="R9" s="19"/>
      <c r="S9" s="32" t="str">
        <f aca="false">IF(Assumptions!S8="","",Assumptions!S8)</f>
        <v/>
      </c>
      <c r="T9" s="32" t="str">
        <f aca="false">IF(Assumptions!T8="","",Assumptions!T8)</f>
        <v/>
      </c>
      <c r="U9" s="32" t="str">
        <f aca="false">IF(Assumptions!U8="","",Assumptions!U8)</f>
        <v/>
      </c>
      <c r="V9" s="19" t="str">
        <f aca="false">IF(Assumptions!V8="","",Assumptions!V8)</f>
        <v/>
      </c>
      <c r="W9" s="32" t="str">
        <f aca="false">IF(Assumptions!W8="","",Assumptions!W8)</f>
        <v/>
      </c>
      <c r="X9" s="32" t="str">
        <f aca="false">IF(Assumptions!X8="","",Assumptions!X8)</f>
        <v/>
      </c>
      <c r="Y9" s="32" t="str">
        <f aca="false">IF(Assumptions!Y8="","",Assumptions!Y8)</f>
        <v/>
      </c>
      <c r="Z9" s="32" t="str">
        <f aca="false">IF(Assumptions!Z8="","",Assumptions!Z8)</f>
        <v/>
      </c>
      <c r="AA9" s="32" t="str">
        <f aca="false">IF(Assumptions!AA8="","",Assumptions!AA8)</f>
        <v/>
      </c>
      <c r="AB9" s="32" t="str">
        <f aca="false">IF(Assumptions!AB8="","",Assumptions!AB8)</f>
        <v/>
      </c>
    </row>
    <row r="10" customFormat="false" ht="15" hidden="false" customHeight="true" outlineLevel="0" collapsed="false">
      <c r="A10" s="18" t="s">
        <v>99</v>
      </c>
      <c r="B10" s="35" t="str">
        <f aca="false">IFERROR(IF(OR('Price Inputs'!B$6="",'Price Inputs'!$I$6=""),"",'Price Inputs'!B$6/'Price Inputs'!$I$6),"")</f>
        <v/>
      </c>
      <c r="C10" s="35" t="n">
        <f aca="false">IFERROR(IF(OR('Price Inputs'!C$6="",'Price Inputs'!$I$6=""),"",'Price Inputs'!C$6/'Price Inputs'!$I$6),"")</f>
        <v>0.803591301566997</v>
      </c>
      <c r="D10" s="35" t="n">
        <f aca="false">IFERROR(IF(OR('Price Inputs'!D$6="",'Price Inputs'!$I$6=""),"",'Price Inputs'!D$6/'Price Inputs'!$I$6),"")</f>
        <v>0.628237927726255</v>
      </c>
      <c r="E10" s="35" t="n">
        <f aca="false">IFERROR(IF(OR('Price Inputs'!E$6="",'Price Inputs'!$I$6=""),"",'Price Inputs'!E$6/'Price Inputs'!$I$6),"")</f>
        <v>1.13671250399744</v>
      </c>
      <c r="F10" s="35" t="n">
        <f aca="false">IFERROR(IF(OR('Price Inputs'!F$6="",'Price Inputs'!$I$6=""),"",'Price Inputs'!F$6/'Price Inputs'!$I$6),"")</f>
        <v>1.29916853213943</v>
      </c>
      <c r="G10" s="35" t="n">
        <f aca="false">IFERROR(IF(OR('Price Inputs'!G$6="",'Price Inputs'!$I$6=""),"",'Price Inputs'!G$6/'Price Inputs'!$I$6),"")</f>
        <v>1.15925807483211</v>
      </c>
      <c r="H10" s="35" t="n">
        <f aca="false">IFERROR(IF(OR('Price Inputs'!H$6="",'Price Inputs'!$I$6=""),"",'Price Inputs'!H$6/'Price Inputs'!$I$6),"")</f>
        <v>1.3271506236009</v>
      </c>
      <c r="I10" s="35" t="n">
        <f aca="false">IFERROR(IF(OR('Price Inputs'!I$6="",'Price Inputs'!$I$6=""),"",'Price Inputs'!I$6/'Price Inputs'!$I$6),"")</f>
        <v>1</v>
      </c>
      <c r="J10" s="35" t="n">
        <f aca="false">IFERROR(IF(OR('Price Inputs'!J$6="",'Price Inputs'!$I$6=""),"",'Price Inputs'!J$6/'Price Inputs'!$I$6),"")</f>
        <v>1.31771666133674</v>
      </c>
      <c r="K10" s="35" t="str">
        <f aca="false">IFERROR(IF(OR('Price Inputs'!K$6="",'Price Inputs'!$I$6=""),"",'Price Inputs'!K$6/'Price Inputs'!$I$6),"")</f>
        <v/>
      </c>
      <c r="L10" s="35" t="n">
        <f aca="false">IFERROR(IF(OR('Price Inputs'!L$6="",'Price Inputs'!$I$6=""),"",'Price Inputs'!L$6/'Price Inputs'!$I$6),"")</f>
        <v>1.34985609210106</v>
      </c>
      <c r="M10" s="35" t="str">
        <f aca="false">IFERROR(IF(OR('Price Inputs'!M$6="",'Price Inputs'!$I$6=""),"",'Price Inputs'!M$6/'Price Inputs'!$I$6),"")</f>
        <v/>
      </c>
      <c r="N10" s="35" t="n">
        <f aca="false">IFERROR(IF(OR('Price Inputs'!N$6="",'Price Inputs'!$I$6=""),"",'Price Inputs'!N$6/'Price Inputs'!$I$6),"")</f>
        <v>1.189318835945</v>
      </c>
      <c r="O10" s="35" t="str">
        <f aca="false">IFERROR(IF(OR('Price Inputs'!O$6="",'Price Inputs'!$I$6=""),"",'Price Inputs'!O$6/'Price Inputs'!$I$6),"")</f>
        <v/>
      </c>
      <c r="P10" s="35" t="n">
        <f aca="false">IFERROR(IF(OR('Price Inputs'!P$6="",'Price Inputs'!$I$6=""),"",'Price Inputs'!P$6/'Price Inputs'!$I$6),"")</f>
        <v>0.944195714742565</v>
      </c>
      <c r="Q10" s="35" t="str">
        <f aca="false">IFERROR(IF(OR('Price Inputs'!Q$6="",'Price Inputs'!$I$6=""),"",'Price Inputs'!Q$6/'Price Inputs'!$I$6),"")</f>
        <v/>
      </c>
      <c r="R10" s="35" t="n">
        <f aca="false">IFERROR(IF(OR('Price Inputs'!R$6="",'Price Inputs'!$I$6=""),"",'Price Inputs'!R$6/'Price Inputs'!$I$6),"")</f>
        <v>1.02590342181004</v>
      </c>
      <c r="S10" s="35" t="str">
        <f aca="false">IFERROR(IF(OR('Price Inputs'!S$6="",'Price Inputs'!$I$6=""),"",'Price Inputs'!S$6/'Price Inputs'!$I$6),"")</f>
        <v/>
      </c>
      <c r="T10" s="35" t="str">
        <f aca="false">IFERROR(IF(OR('Price Inputs'!T$6="",'Price Inputs'!$I$6=""),"",'Price Inputs'!T$6/'Price Inputs'!$I$6),"")</f>
        <v/>
      </c>
      <c r="U10" s="35" t="str">
        <f aca="false">IFERROR(IF(OR('Price Inputs'!U$6="",'Price Inputs'!$I$6=""),"",'Price Inputs'!U$6/'Price Inputs'!$I$6),"")</f>
        <v/>
      </c>
      <c r="V10" s="35" t="str">
        <f aca="false">'Price Inputs'!V7</f>
        <v/>
      </c>
      <c r="W10" s="35" t="str">
        <f aca="false">IFERROR(IF(OR('Price Inputs'!W$6="",'Price Inputs'!$I$6=""),"",'Price Inputs'!W$6/'Price Inputs'!$I$6),"")</f>
        <v/>
      </c>
      <c r="X10" s="35" t="str">
        <f aca="false">IFERROR(IF(OR('Price Inputs'!X$6="",'Price Inputs'!$I$6=""),"",'Price Inputs'!X$6/'Price Inputs'!$I$6),"")</f>
        <v/>
      </c>
      <c r="Y10" s="35" t="str">
        <f aca="false">IFERROR(IF(OR('Price Inputs'!Y$6="",'Price Inputs'!$I$6=""),"",'Price Inputs'!Y$6/'Price Inputs'!$I$6),"")</f>
        <v/>
      </c>
      <c r="Z10" s="35" t="str">
        <f aca="false">IFERROR(IF(OR('Price Inputs'!Z$6="",'Price Inputs'!$I$6=""),"",'Price Inputs'!Z$6/'Price Inputs'!$I$6),"")</f>
        <v/>
      </c>
      <c r="AA10" s="35" t="str">
        <f aca="false">IFERROR(IF(OR('Price Inputs'!AA$6="",'Price Inputs'!$I$6=""),"",'Price Inputs'!AA$6/'Price Inputs'!$I$6),"")</f>
        <v/>
      </c>
      <c r="AB10" s="35" t="str">
        <f aca="false">IFERROR(IF(OR('Price Inputs'!AB$6="",'Price Inputs'!$I$6=""),"",'Price Inputs'!AB$6/'Price Inputs'!$I$6),"")</f>
        <v/>
      </c>
    </row>
    <row r="11" customFormat="false" ht="15" hidden="false" customHeight="true" outlineLevel="0" collapsed="false">
      <c r="A11" s="18" t="s">
        <v>100</v>
      </c>
      <c r="B11" s="36" t="n">
        <f aca="false">IF(B8="","",1)</f>
        <v>1</v>
      </c>
      <c r="C11" s="36" t="n">
        <f aca="false">IF(C8="","",1)</f>
        <v>1</v>
      </c>
      <c r="D11" s="36" t="n">
        <f aca="false">IF(D8="","",1)</f>
        <v>1</v>
      </c>
      <c r="E11" s="36" t="n">
        <f aca="false">IF(E8="","",1)</f>
        <v>1</v>
      </c>
      <c r="F11" s="36" t="n">
        <f aca="false">IF(F8="","",1)</f>
        <v>1</v>
      </c>
      <c r="G11" s="36" t="n">
        <f aca="false">IF(G8="","",1)</f>
        <v>1</v>
      </c>
      <c r="H11" s="36" t="n">
        <f aca="false">IF(H8="","",1)</f>
        <v>1</v>
      </c>
      <c r="I11" s="36" t="n">
        <f aca="false">IF(I8="","",1)</f>
        <v>1</v>
      </c>
      <c r="J11" s="36" t="str">
        <f aca="false">IF(J8="","",1)</f>
        <v/>
      </c>
      <c r="K11" s="36" t="str">
        <f aca="false">IF(K8="","",1)</f>
        <v/>
      </c>
      <c r="L11" s="36" t="str">
        <f aca="false">IF(L8="","",1)</f>
        <v/>
      </c>
      <c r="M11" s="36" t="str">
        <f aca="false">IF(M8="","",1)</f>
        <v/>
      </c>
      <c r="N11" s="36" t="str">
        <f aca="false">IF(N8="","",1)</f>
        <v/>
      </c>
      <c r="O11" s="36" t="str">
        <f aca="false">IF(O8="","",1)</f>
        <v/>
      </c>
      <c r="P11" s="36" t="str">
        <f aca="false">IF(P8="","",1)</f>
        <v/>
      </c>
      <c r="Q11" s="36" t="str">
        <f aca="false">IF(Q8="","",1)</f>
        <v/>
      </c>
      <c r="R11" s="36" t="str">
        <f aca="false">IF(R8="","",1)</f>
        <v/>
      </c>
      <c r="S11" s="35" t="str">
        <f aca="false">IF(Assumptions!S9="","",1*(1+Assumptions!S9))</f>
        <v/>
      </c>
      <c r="T11" s="35" t="str">
        <f aca="false">IF(Assumptions!T9="","",S11*(1+Assumptions!T9))</f>
        <v/>
      </c>
      <c r="U11" s="35" t="str">
        <f aca="false">IF(Assumptions!U9="","",T11*(1+Assumptions!U9))</f>
        <v/>
      </c>
      <c r="V11" s="36" t="str">
        <f aca="false">IF(V8="","",1)</f>
        <v/>
      </c>
      <c r="W11" s="35" t="str">
        <f aca="false">IF(Assumptions!W9="","",V11*(1+Assumptions!W9))</f>
        <v/>
      </c>
      <c r="X11" s="35" t="str">
        <f aca="false">IF(Assumptions!X9="","",W11*(1+Assumptions!X9))</f>
        <v/>
      </c>
      <c r="Y11" s="35" t="str">
        <f aca="false">IF(Assumptions!Y9="","",X11*(1+Assumptions!Y9))</f>
        <v/>
      </c>
      <c r="Z11" s="35" t="str">
        <f aca="false">IF(Assumptions!Z9="","",Y11*(1+Assumptions!Z9))</f>
        <v/>
      </c>
      <c r="AA11" s="35" t="str">
        <f aca="false">IF(Assumptions!AA9="","",Z11*(1+Assumptions!AA9))</f>
        <v/>
      </c>
      <c r="AB11" s="35" t="str">
        <f aca="false">IF(Assumptions!AB9="","",AA11*(1+Assumptions!AB9))</f>
        <v/>
      </c>
    </row>
    <row r="12" customFormat="false" ht="15" hidden="false" customHeight="true" outlineLevel="0" collapsed="false">
      <c r="A12" s="18" t="s">
        <v>101</v>
      </c>
      <c r="B12" s="26" t="n">
        <f aca="false">IF(B8="","",B8)</f>
        <v>8152.29709655591</v>
      </c>
      <c r="C12" s="26" t="n">
        <f aca="false">IF(C8="","",C8)</f>
        <v>7133.88530270426</v>
      </c>
      <c r="D12" s="26" t="n">
        <f aca="false">IF(D8="","",D8)</f>
        <v>6740.33548659957</v>
      </c>
      <c r="E12" s="26" t="n">
        <f aca="false">IF(E8="","",E8)</f>
        <v>10097.0270322365</v>
      </c>
      <c r="F12" s="26" t="n">
        <f aca="false">IF(F8="","",F8)</f>
        <v>11368.0204782656</v>
      </c>
      <c r="G12" s="26" t="n">
        <f aca="false">IF(G8="","",G8)</f>
        <v>9964.27407784458</v>
      </c>
      <c r="H12" s="26" t="n">
        <f aca="false">IF(H8="","",H8)</f>
        <v>9930.70775314007</v>
      </c>
      <c r="I12" s="26" t="n">
        <f aca="false">IF(I8="","",I8)</f>
        <v>8697.43993629319</v>
      </c>
      <c r="J12" s="26" t="str">
        <f aca="false">IF(J8="","",J8)</f>
        <v/>
      </c>
      <c r="K12" s="26" t="str">
        <f aca="false">IF(K8="","",K8)</f>
        <v/>
      </c>
      <c r="L12" s="26" t="str">
        <f aca="false">IF(L8="","",L8)</f>
        <v/>
      </c>
      <c r="M12" s="26" t="str">
        <f aca="false">IF(M8="","",M8)</f>
        <v/>
      </c>
      <c r="N12" s="26" t="str">
        <f aca="false">IF(N8="","",N8)</f>
        <v/>
      </c>
      <c r="O12" s="26" t="str">
        <f aca="false">IF(O8="","",O8)</f>
        <v/>
      </c>
      <c r="P12" s="26" t="str">
        <f aca="false">IF(P8="","",P8)</f>
        <v/>
      </c>
      <c r="Q12" s="26" t="str">
        <f aca="false">IF(Q8="","",Q8)</f>
        <v/>
      </c>
      <c r="R12" s="26" t="str">
        <f aca="false">IF(R8="","",R8)</f>
        <v/>
      </c>
      <c r="S12" s="26" t="str">
        <f aca="false">IF(OR($I$8="",S9="",S10="",S11=""),"",$I$8*(S9*S10+(1-S9)*S11))</f>
        <v/>
      </c>
      <c r="T12" s="26" t="str">
        <f aca="false">IF(OR($I$8="",T9="",T10="",T11=""),"",$I$8*(T9*T10+(1-T9)*T11))</f>
        <v/>
      </c>
      <c r="U12" s="26" t="str">
        <f aca="false">IF(OR($I$8="",U9="",U10="",U11=""),"",$I$8*(U9*U10+(1-U9)*U11))</f>
        <v/>
      </c>
      <c r="V12" s="26" t="str">
        <f aca="false">IF(V8="","",V8)</f>
        <v/>
      </c>
      <c r="W12" s="26" t="str">
        <f aca="false">IF(OR($I$8="",W9="",W10="",W11=""),"",$I$8*(W9*W10+(1-W9)*W11))</f>
        <v/>
      </c>
      <c r="X12" s="26" t="str">
        <f aca="false">IF(OR($I$8="",X9="",X10="",X11=""),"",$I$8*(X9*X10+(1-X9)*X11))</f>
        <v/>
      </c>
      <c r="Y12" s="26" t="str">
        <f aca="false">IF(OR($I$8="",Y9="",Y10="",Y11=""),"",$I$8*(Y9*Y10+(1-Y9)*Y11))</f>
        <v/>
      </c>
      <c r="Z12" s="26" t="str">
        <f aca="false">IF(OR($I$8="",Z9="",Z10="",Z11=""),"",$I$8*(Z9*Z10+(1-Z9)*Z11))</f>
        <v/>
      </c>
      <c r="AA12" s="26" t="str">
        <f aca="false">IF(OR($I$8="",AA9="",AA10="",AA11=""),"",$I$8*(AA9*AA10+(1-AA9)*AA11))</f>
        <v/>
      </c>
      <c r="AB12" s="26" t="str">
        <f aca="false">IF(OR($I$8="",AB9="",AB10="",AB11=""),"",$I$8*(AB9*AB10+(1-AB9)*AB11))</f>
        <v/>
      </c>
    </row>
    <row r="13" customFormat="false" ht="15" hidden="false" customHeight="true" outlineLevel="0" collapsed="false">
      <c r="A13" s="18" t="s">
        <v>102</v>
      </c>
      <c r="B13" s="30" t="n">
        <f aca="false">IF(B7="","",B7)</f>
        <v>15384.31398307</v>
      </c>
      <c r="C13" s="30" t="n">
        <f aca="false">IF(C7="","",C7)</f>
        <v>18687.94734062</v>
      </c>
      <c r="D13" s="30" t="n">
        <f aca="false">IF(D7="","",D7)</f>
        <v>19441.71583218</v>
      </c>
      <c r="E13" s="30" t="n">
        <f aca="false">IF(E7="","",E7)</f>
        <v>39277.4351554</v>
      </c>
      <c r="F13" s="30" t="n">
        <f aca="false">IF(F7="","",F7)</f>
        <v>47518.32559915</v>
      </c>
      <c r="G13" s="30" t="n">
        <f aca="false">IF(G7="","",G7)</f>
        <v>48725.30024066</v>
      </c>
      <c r="H13" s="30" t="n">
        <f aca="false">IF(H7="","",H7)</f>
        <v>56009.19172771</v>
      </c>
      <c r="I13" s="30" t="n">
        <f aca="false">IF(I7="","",I7)</f>
        <v>54880.84599801</v>
      </c>
      <c r="J13" s="30" t="str">
        <f aca="false">IF(J7="","",J7)</f>
        <v/>
      </c>
      <c r="K13" s="30" t="str">
        <f aca="false">IF(K7="","",K7)</f>
        <v/>
      </c>
      <c r="L13" s="30" t="str">
        <f aca="false">IF(L7="","",L7)</f>
        <v/>
      </c>
      <c r="M13" s="30" t="str">
        <f aca="false">IF(M7="","",M7)</f>
        <v/>
      </c>
      <c r="N13" s="30" t="str">
        <f aca="false">IF(N7="","",N7)</f>
        <v/>
      </c>
      <c r="O13" s="30" t="str">
        <f aca="false">IF(O7="","",O7)</f>
        <v/>
      </c>
      <c r="P13" s="30" t="str">
        <f aca="false">IF(P7="","",P7)</f>
        <v/>
      </c>
      <c r="Q13" s="30" t="str">
        <f aca="false">IF(Q7="","",Q7)</f>
        <v/>
      </c>
      <c r="R13" s="30" t="str">
        <f aca="false">IF(R7="","",R7)</f>
        <v/>
      </c>
      <c r="S13" s="30" t="str">
        <f aca="false">IF(OR(S6="",S12=""),"",S6*S12/100)</f>
        <v/>
      </c>
      <c r="T13" s="30" t="str">
        <f aca="false">IF(OR(T6="",T12=""),"",T6*T12/100)</f>
        <v/>
      </c>
      <c r="U13" s="30" t="str">
        <f aca="false">IF(OR(U6="",U12=""),"",U6*U12/100)</f>
        <v/>
      </c>
      <c r="V13" s="30" t="str">
        <f aca="false">IF(V7="","",V7)</f>
        <v/>
      </c>
      <c r="W13" s="30" t="str">
        <f aca="false">IF(OR(W6="",W12=""),"",W6*W12/100)</f>
        <v/>
      </c>
      <c r="X13" s="30" t="str">
        <f aca="false">IF(OR(X6="",X12=""),"",X6*X12/100)</f>
        <v/>
      </c>
      <c r="Y13" s="30" t="str">
        <f aca="false">IF(OR(Y6="",Y12=""),"",Y6*Y12/100)</f>
        <v/>
      </c>
      <c r="Z13" s="30" t="str">
        <f aca="false">IF(OR(Z6="",Z12=""),"",Z6*Z12/100)</f>
        <v/>
      </c>
      <c r="AA13" s="30" t="str">
        <f aca="false">IF(OR(AA6="",AA12=""),"",AA6*AA12/100)</f>
        <v/>
      </c>
      <c r="AB13" s="30" t="str">
        <f aca="false">IF(OR(AB6="",AB12=""),"",AB6*AB12/100)</f>
        <v/>
      </c>
    </row>
    <row r="14" customFormat="false" ht="15" hidden="false" customHeight="true" outlineLevel="0" collapsed="false">
      <c r="A14" s="21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customFormat="false" ht="15" hidden="false" customHeight="true" outlineLevel="0" collapsed="false">
      <c r="A15" s="21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customFormat="false" ht="15" hidden="false" customHeight="true" outlineLevel="0" collapsed="false">
      <c r="A16" s="17" t="s">
        <v>69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customFormat="false" ht="15" hidden="false" customHeight="true" outlineLevel="0" collapsed="false">
      <c r="A17" s="18" t="s">
        <v>95</v>
      </c>
      <c r="B17" s="33" t="n">
        <f aca="false">'Volume-Price'!B16</f>
        <v>151.4707</v>
      </c>
      <c r="C17" s="33" t="n">
        <f aca="false">'Volume-Price'!C16</f>
        <v>197.8362</v>
      </c>
      <c r="D17" s="33" t="n">
        <f aca="false">'Volume-Price'!D16</f>
        <v>188.4886</v>
      </c>
      <c r="E17" s="33" t="n">
        <f aca="false">'Volume-Price'!E16</f>
        <v>390</v>
      </c>
      <c r="F17" s="33" t="n">
        <f aca="false">'Volume-Price'!F16</f>
        <v>454</v>
      </c>
      <c r="G17" s="33" t="n">
        <f aca="false">'Volume-Price'!G16</f>
        <v>472</v>
      </c>
      <c r="H17" s="33" t="n">
        <f aca="false">'Volume-Price'!H16</f>
        <v>547</v>
      </c>
      <c r="I17" s="33" t="n">
        <f aca="false">'Volume-Price'!I16</f>
        <v>633</v>
      </c>
      <c r="J17" s="33" t="n">
        <f aca="false">'Volume-Price'!J16</f>
        <v>134</v>
      </c>
      <c r="K17" s="33" t="n">
        <f aca="false">'Volume-Price'!K16</f>
        <v>141</v>
      </c>
      <c r="L17" s="33" t="n">
        <f aca="false">'Volume-Price'!L16</f>
        <v>132</v>
      </c>
      <c r="M17" s="33" t="n">
        <f aca="false">'Volume-Price'!M16</f>
        <v>140</v>
      </c>
      <c r="N17" s="33" t="n">
        <f aca="false">'Volume-Price'!N16</f>
        <v>133</v>
      </c>
      <c r="O17" s="33" t="n">
        <f aca="false">'Volume-Price'!O16</f>
        <v>152</v>
      </c>
      <c r="P17" s="33" t="n">
        <f aca="false">'Volume-Price'!P16</f>
        <v>175</v>
      </c>
      <c r="Q17" s="33" t="n">
        <f aca="false">'Volume-Price'!Q16</f>
        <v>173</v>
      </c>
      <c r="R17" s="33" t="n">
        <f aca="false">'Volume-Price'!R16</f>
        <v>166</v>
      </c>
      <c r="S17" s="33" t="str">
        <f aca="false">'Volume-Price'!S16</f>
        <v/>
      </c>
      <c r="T17" s="33" t="str">
        <f aca="false">'Volume-Price'!T16</f>
        <v/>
      </c>
      <c r="U17" s="33" t="str">
        <f aca="false">'Volume-Price'!U16</f>
        <v/>
      </c>
      <c r="V17" s="33" t="n">
        <f aca="false">'Volume-Price'!V16</f>
        <v>173</v>
      </c>
      <c r="W17" s="33" t="str">
        <f aca="false">'Volume-Price'!W16</f>
        <v/>
      </c>
      <c r="X17" s="33" t="str">
        <f aca="false">'Volume-Price'!X16</f>
        <v/>
      </c>
      <c r="Y17" s="33" t="str">
        <f aca="false">'Volume-Price'!Y16</f>
        <v/>
      </c>
      <c r="Z17" s="33" t="str">
        <f aca="false">'Volume-Price'!Z16</f>
        <v/>
      </c>
      <c r="AA17" s="33" t="str">
        <f aca="false">'Volume-Price'!AA16</f>
        <v/>
      </c>
      <c r="AB17" s="33" t="str">
        <f aca="false">'Volume-Price'!AB16</f>
        <v/>
      </c>
    </row>
    <row r="18" customFormat="false" ht="15" hidden="false" customHeight="true" outlineLevel="0" collapsed="false">
      <c r="A18" s="18" t="s">
        <v>96</v>
      </c>
      <c r="B18" s="29" t="n">
        <v>17021.13325352</v>
      </c>
      <c r="C18" s="29" t="n">
        <v>17859.81353777</v>
      </c>
      <c r="D18" s="29" t="n">
        <v>22102.63864773</v>
      </c>
      <c r="E18" s="29" t="n">
        <v>50916.47825843</v>
      </c>
      <c r="F18" s="29" t="n">
        <v>67032.07590358</v>
      </c>
      <c r="G18" s="29" t="n">
        <v>66891.14017935</v>
      </c>
      <c r="H18" s="29" t="n">
        <v>69965.50029623</v>
      </c>
      <c r="I18" s="29" t="n">
        <v>83718.34153072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customFormat="false" ht="15" hidden="false" customHeight="true" outlineLevel="0" collapsed="false">
      <c r="A19" s="18" t="s">
        <v>97</v>
      </c>
      <c r="B19" s="26" t="n">
        <f aca="false">IFERROR(IF(OR(B17="",B17=0,B18=""),"",B18/B17*100),"")</f>
        <v>11237.2447301821</v>
      </c>
      <c r="C19" s="26" t="n">
        <f aca="false">IFERROR(IF(OR(C17="",C17=0,C18=""),"",C18/C17*100),"")</f>
        <v>9027.5761148718</v>
      </c>
      <c r="D19" s="26" t="n">
        <f aca="false">IFERROR(IF(OR(D17="",D17=0,D18=""),"",D18/D17*100),"")</f>
        <v>11726.2469177075</v>
      </c>
      <c r="E19" s="26" t="n">
        <f aca="false">IFERROR(IF(OR(E17="",E17=0,E18=""),"",E18/E17*100),"")</f>
        <v>13055.5072457513</v>
      </c>
      <c r="F19" s="26" t="n">
        <f aca="false">IFERROR(IF(OR(F17="",F17=0,F18=""),"",F18/F17*100),"")</f>
        <v>14764.7744281013</v>
      </c>
      <c r="G19" s="26" t="n">
        <f aca="false">IFERROR(IF(OR(G17="",G17=0,G18=""),"",G18/G17*100),"")</f>
        <v>14171.8517329131</v>
      </c>
      <c r="H19" s="26" t="n">
        <f aca="false">IFERROR(IF(OR(H17="",H17=0,H18=""),"",H18/H17*100),"")</f>
        <v>12790.7678786527</v>
      </c>
      <c r="I19" s="26" t="n">
        <f aca="false">IFERROR(IF(OR(I17="",I17=0,I18=""),"",I18/I17*100),"")</f>
        <v>13225.6463713618</v>
      </c>
      <c r="J19" s="26" t="str">
        <f aca="false">IFERROR(IF(OR(J17="",J17=0,J18=""),"",J18/J17*100),"")</f>
        <v/>
      </c>
      <c r="K19" s="26" t="str">
        <f aca="false">IFERROR(IF(OR(K17="",K17=0,K18=""),"",K18/K17*100),"")</f>
        <v/>
      </c>
      <c r="L19" s="26" t="str">
        <f aca="false">IFERROR(IF(OR(L17="",L17=0,L18=""),"",L18/L17*100),"")</f>
        <v/>
      </c>
      <c r="M19" s="26" t="str">
        <f aca="false">IFERROR(IF(OR(M17="",M17=0,M18=""),"",M18/M17*100),"")</f>
        <v/>
      </c>
      <c r="N19" s="26" t="str">
        <f aca="false">IFERROR(IF(OR(N17="",N17=0,N18=""),"",N18/N17*100),"")</f>
        <v/>
      </c>
      <c r="O19" s="26" t="str">
        <f aca="false">IFERROR(IF(OR(O17="",O17=0,O18=""),"",O18/O17*100),"")</f>
        <v/>
      </c>
      <c r="P19" s="26" t="str">
        <f aca="false">IFERROR(IF(OR(P17="",P17=0,P18=""),"",P18/P17*100),"")</f>
        <v/>
      </c>
      <c r="Q19" s="26" t="str">
        <f aca="false">IFERROR(IF(OR(Q17="",Q17=0,Q18=""),"",Q18/Q17*100),"")</f>
        <v/>
      </c>
      <c r="R19" s="26" t="str">
        <f aca="false">IFERROR(IF(OR(R17="",R17=0,R18=""),"",R18/R17*100),"")</f>
        <v/>
      </c>
      <c r="S19" s="26" t="str">
        <f aca="false">IFERROR(IF(OR(S17="",S17=0,S18=""),"",S18/S17*100),"")</f>
        <v/>
      </c>
      <c r="T19" s="26" t="str">
        <f aca="false">IFERROR(IF(OR(T17="",T17=0,T18=""),"",T18/T17*100),"")</f>
        <v/>
      </c>
      <c r="U19" s="26" t="str">
        <f aca="false">IFERROR(IF(OR(U17="",U17=0,U18=""),"",U18/U17*100),"")</f>
        <v/>
      </c>
      <c r="V19" s="26" t="str">
        <f aca="false">IFERROR(IF(OR(V17="",V17=0,V18=""),"",V18/V17*100),"")</f>
        <v/>
      </c>
      <c r="W19" s="26" t="str">
        <f aca="false">IFERROR(IF(OR(W17="",W17=0,W18=""),"",W18/W17*100),"")</f>
        <v/>
      </c>
      <c r="X19" s="26" t="str">
        <f aca="false">IFERROR(IF(OR(X17="",X17=0,X18=""),"",X18/X17*100),"")</f>
        <v/>
      </c>
      <c r="Y19" s="26" t="str">
        <f aca="false">IFERROR(IF(OR(Y17="",Y17=0,Y18=""),"",Y18/Y17*100),"")</f>
        <v/>
      </c>
      <c r="Z19" s="26" t="str">
        <f aca="false">IFERROR(IF(OR(Z17="",Z17=0,Z18=""),"",Z18/Z17*100),"")</f>
        <v/>
      </c>
      <c r="AA19" s="26" t="str">
        <f aca="false">IFERROR(IF(OR(AA17="",AA17=0,AA18=""),"",AA18/AA17*100),"")</f>
        <v/>
      </c>
      <c r="AB19" s="26" t="str">
        <f aca="false">IFERROR(IF(OR(AB17="",AB17=0,AB18=""),"",AB18/AB17*100),"")</f>
        <v/>
      </c>
    </row>
    <row r="20" customFormat="false" ht="15" hidden="false" customHeight="true" outlineLevel="0" collapsed="false">
      <c r="A20" s="18" t="s">
        <v>98</v>
      </c>
      <c r="B20" s="34" t="n">
        <v>0.8414</v>
      </c>
      <c r="C20" s="34" t="n">
        <v>0.8257</v>
      </c>
      <c r="D20" s="34" t="n">
        <v>0.8595</v>
      </c>
      <c r="E20" s="34" t="n">
        <v>0.8727</v>
      </c>
      <c r="F20" s="34" t="n">
        <v>0.8795</v>
      </c>
      <c r="G20" s="34" t="n">
        <v>0.882</v>
      </c>
      <c r="H20" s="34" t="n">
        <v>0.8735</v>
      </c>
      <c r="I20" s="34" t="n">
        <v>0.8857</v>
      </c>
      <c r="J20" s="19"/>
      <c r="K20" s="19"/>
      <c r="L20" s="19"/>
      <c r="M20" s="19"/>
      <c r="N20" s="19"/>
      <c r="O20" s="19"/>
      <c r="P20" s="19"/>
      <c r="Q20" s="19"/>
      <c r="R20" s="19"/>
      <c r="S20" s="32" t="str">
        <f aca="false">IF(Assumptions!S14="","",Assumptions!S14)</f>
        <v/>
      </c>
      <c r="T20" s="32" t="str">
        <f aca="false">IF(Assumptions!T14="","",Assumptions!T14)</f>
        <v/>
      </c>
      <c r="U20" s="32" t="str">
        <f aca="false">IF(Assumptions!U14="","",Assumptions!U14)</f>
        <v/>
      </c>
      <c r="V20" s="19" t="str">
        <f aca="false">IF(Assumptions!V14="","",Assumptions!V14)</f>
        <v/>
      </c>
      <c r="W20" s="32" t="str">
        <f aca="false">IF(Assumptions!W14="","",Assumptions!W14)</f>
        <v/>
      </c>
      <c r="X20" s="32" t="str">
        <f aca="false">IF(Assumptions!X14="","",Assumptions!X14)</f>
        <v/>
      </c>
      <c r="Y20" s="32" t="str">
        <f aca="false">IF(Assumptions!Y14="","",Assumptions!Y14)</f>
        <v/>
      </c>
      <c r="Z20" s="32" t="str">
        <f aca="false">IF(Assumptions!Z14="","",Assumptions!Z14)</f>
        <v/>
      </c>
      <c r="AA20" s="32" t="str">
        <f aca="false">IF(Assumptions!AA14="","",Assumptions!AA14)</f>
        <v/>
      </c>
      <c r="AB20" s="32" t="str">
        <f aca="false">IF(Assumptions!AB14="","",Assumptions!AB14)</f>
        <v/>
      </c>
    </row>
    <row r="21" customFormat="false" ht="15" hidden="false" customHeight="true" outlineLevel="0" collapsed="false">
      <c r="A21" s="18" t="s">
        <v>99</v>
      </c>
      <c r="B21" s="35" t="str">
        <f aca="false">IFERROR(IF(OR('Price Inputs'!B$6="",'Price Inputs'!$I$6=""),"",'Price Inputs'!B$6/'Price Inputs'!$I$6),"")</f>
        <v/>
      </c>
      <c r="C21" s="35" t="n">
        <f aca="false">IFERROR(IF(OR('Price Inputs'!C$6="",'Price Inputs'!$I$6=""),"",'Price Inputs'!C$6/'Price Inputs'!$I$6),"")</f>
        <v>0.803591301566997</v>
      </c>
      <c r="D21" s="35" t="n">
        <f aca="false">IFERROR(IF(OR('Price Inputs'!D$6="",'Price Inputs'!$I$6=""),"",'Price Inputs'!D$6/'Price Inputs'!$I$6),"")</f>
        <v>0.628237927726255</v>
      </c>
      <c r="E21" s="35" t="n">
        <f aca="false">IFERROR(IF(OR('Price Inputs'!E$6="",'Price Inputs'!$I$6=""),"",'Price Inputs'!E$6/'Price Inputs'!$I$6),"")</f>
        <v>1.13671250399744</v>
      </c>
      <c r="F21" s="35" t="n">
        <f aca="false">IFERROR(IF(OR('Price Inputs'!F$6="",'Price Inputs'!$I$6=""),"",'Price Inputs'!F$6/'Price Inputs'!$I$6),"")</f>
        <v>1.29916853213943</v>
      </c>
      <c r="G21" s="35" t="n">
        <f aca="false">IFERROR(IF(OR('Price Inputs'!G$6="",'Price Inputs'!$I$6=""),"",'Price Inputs'!G$6/'Price Inputs'!$I$6),"")</f>
        <v>1.15925807483211</v>
      </c>
      <c r="H21" s="35" t="n">
        <f aca="false">IFERROR(IF(OR('Price Inputs'!H$6="",'Price Inputs'!$I$6=""),"",'Price Inputs'!H$6/'Price Inputs'!$I$6),"")</f>
        <v>1.3271506236009</v>
      </c>
      <c r="I21" s="35" t="n">
        <f aca="false">IFERROR(IF(OR('Price Inputs'!I$6="",'Price Inputs'!$I$6=""),"",'Price Inputs'!I$6/'Price Inputs'!$I$6),"")</f>
        <v>1</v>
      </c>
      <c r="J21" s="35" t="n">
        <f aca="false">IFERROR(IF(OR('Price Inputs'!J$6="",'Price Inputs'!$I$6=""),"",'Price Inputs'!J$6/'Price Inputs'!$I$6),"")</f>
        <v>1.31771666133674</v>
      </c>
      <c r="K21" s="35" t="str">
        <f aca="false">IFERROR(IF(OR('Price Inputs'!K$6="",'Price Inputs'!$I$6=""),"",'Price Inputs'!K$6/'Price Inputs'!$I$6),"")</f>
        <v/>
      </c>
      <c r="L21" s="35" t="n">
        <f aca="false">IFERROR(IF(OR('Price Inputs'!L$6="",'Price Inputs'!$I$6=""),"",'Price Inputs'!L$6/'Price Inputs'!$I$6),"")</f>
        <v>1.34985609210106</v>
      </c>
      <c r="M21" s="35" t="str">
        <f aca="false">IFERROR(IF(OR('Price Inputs'!M$6="",'Price Inputs'!$I$6=""),"",'Price Inputs'!M$6/'Price Inputs'!$I$6),"")</f>
        <v/>
      </c>
      <c r="N21" s="35" t="n">
        <f aca="false">IFERROR(IF(OR('Price Inputs'!N$6="",'Price Inputs'!$I$6=""),"",'Price Inputs'!N$6/'Price Inputs'!$I$6),"")</f>
        <v>1.189318835945</v>
      </c>
      <c r="O21" s="35" t="str">
        <f aca="false">IFERROR(IF(OR('Price Inputs'!O$6="",'Price Inputs'!$I$6=""),"",'Price Inputs'!O$6/'Price Inputs'!$I$6),"")</f>
        <v/>
      </c>
      <c r="P21" s="35" t="n">
        <f aca="false">IFERROR(IF(OR('Price Inputs'!P$6="",'Price Inputs'!$I$6=""),"",'Price Inputs'!P$6/'Price Inputs'!$I$6),"")</f>
        <v>0.944195714742565</v>
      </c>
      <c r="Q21" s="35" t="str">
        <f aca="false">IFERROR(IF(OR('Price Inputs'!Q$6="",'Price Inputs'!$I$6=""),"",'Price Inputs'!Q$6/'Price Inputs'!$I$6),"")</f>
        <v/>
      </c>
      <c r="R21" s="35" t="n">
        <f aca="false">IFERROR(IF(OR('Price Inputs'!R$6="",'Price Inputs'!$I$6=""),"",'Price Inputs'!R$6/'Price Inputs'!$I$6),"")</f>
        <v>1.02590342181004</v>
      </c>
      <c r="S21" s="35" t="str">
        <f aca="false">IFERROR(IF(OR('Price Inputs'!S$6="",'Price Inputs'!$I$6=""),"",'Price Inputs'!S$6/'Price Inputs'!$I$6),"")</f>
        <v/>
      </c>
      <c r="T21" s="35" t="str">
        <f aca="false">IFERROR(IF(OR('Price Inputs'!T$6="",'Price Inputs'!$I$6=""),"",'Price Inputs'!T$6/'Price Inputs'!$I$6),"")</f>
        <v/>
      </c>
      <c r="U21" s="35" t="str">
        <f aca="false">IFERROR(IF(OR('Price Inputs'!U$6="",'Price Inputs'!$I$6=""),"",'Price Inputs'!U$6/'Price Inputs'!$I$6),"")</f>
        <v/>
      </c>
      <c r="V21" s="35" t="str">
        <f aca="false">'Price Inputs'!V7</f>
        <v/>
      </c>
      <c r="W21" s="35" t="str">
        <f aca="false">IFERROR(IF(OR('Price Inputs'!W$6="",'Price Inputs'!$I$6=""),"",'Price Inputs'!W$6/'Price Inputs'!$I$6),"")</f>
        <v/>
      </c>
      <c r="X21" s="35" t="str">
        <f aca="false">IFERROR(IF(OR('Price Inputs'!X$6="",'Price Inputs'!$I$6=""),"",'Price Inputs'!X$6/'Price Inputs'!$I$6),"")</f>
        <v/>
      </c>
      <c r="Y21" s="35" t="str">
        <f aca="false">IFERROR(IF(OR('Price Inputs'!Y$6="",'Price Inputs'!$I$6=""),"",'Price Inputs'!Y$6/'Price Inputs'!$I$6),"")</f>
        <v/>
      </c>
      <c r="Z21" s="35" t="str">
        <f aca="false">IFERROR(IF(OR('Price Inputs'!Z$6="",'Price Inputs'!$I$6=""),"",'Price Inputs'!Z$6/'Price Inputs'!$I$6),"")</f>
        <v/>
      </c>
      <c r="AA21" s="35" t="str">
        <f aca="false">IFERROR(IF(OR('Price Inputs'!AA$6="",'Price Inputs'!$I$6=""),"",'Price Inputs'!AA$6/'Price Inputs'!$I$6),"")</f>
        <v/>
      </c>
      <c r="AB21" s="35" t="str">
        <f aca="false">IFERROR(IF(OR('Price Inputs'!AB$6="",'Price Inputs'!$I$6=""),"",'Price Inputs'!AB$6/'Price Inputs'!$I$6),"")</f>
        <v/>
      </c>
    </row>
    <row r="22" customFormat="false" ht="15" hidden="false" customHeight="true" outlineLevel="0" collapsed="false">
      <c r="A22" s="18" t="s">
        <v>100</v>
      </c>
      <c r="B22" s="36" t="n">
        <f aca="false">IF(B19="","",1)</f>
        <v>1</v>
      </c>
      <c r="C22" s="36" t="n">
        <f aca="false">IF(C19="","",1)</f>
        <v>1</v>
      </c>
      <c r="D22" s="36" t="n">
        <f aca="false">IF(D19="","",1)</f>
        <v>1</v>
      </c>
      <c r="E22" s="36" t="n">
        <f aca="false">IF(E19="","",1)</f>
        <v>1</v>
      </c>
      <c r="F22" s="36" t="n">
        <f aca="false">IF(F19="","",1)</f>
        <v>1</v>
      </c>
      <c r="G22" s="36" t="n">
        <f aca="false">IF(G19="","",1)</f>
        <v>1</v>
      </c>
      <c r="H22" s="36" t="n">
        <f aca="false">IF(H19="","",1)</f>
        <v>1</v>
      </c>
      <c r="I22" s="36" t="n">
        <f aca="false">IF(I19="","",1)</f>
        <v>1</v>
      </c>
      <c r="J22" s="36" t="str">
        <f aca="false">IF(J19="","",1)</f>
        <v/>
      </c>
      <c r="K22" s="36" t="str">
        <f aca="false">IF(K19="","",1)</f>
        <v/>
      </c>
      <c r="L22" s="36" t="str">
        <f aca="false">IF(L19="","",1)</f>
        <v/>
      </c>
      <c r="M22" s="36" t="str">
        <f aca="false">IF(M19="","",1)</f>
        <v/>
      </c>
      <c r="N22" s="36" t="str">
        <f aca="false">IF(N19="","",1)</f>
        <v/>
      </c>
      <c r="O22" s="36" t="str">
        <f aca="false">IF(O19="","",1)</f>
        <v/>
      </c>
      <c r="P22" s="36" t="str">
        <f aca="false">IF(P19="","",1)</f>
        <v/>
      </c>
      <c r="Q22" s="36" t="str">
        <f aca="false">IF(Q19="","",1)</f>
        <v/>
      </c>
      <c r="R22" s="36" t="str">
        <f aca="false">IF(R19="","",1)</f>
        <v/>
      </c>
      <c r="S22" s="35" t="str">
        <f aca="false">IF(Assumptions!S15="","",1*(1+Assumptions!S15))</f>
        <v/>
      </c>
      <c r="T22" s="35" t="str">
        <f aca="false">IF(Assumptions!T15="","",S22*(1+Assumptions!T15))</f>
        <v/>
      </c>
      <c r="U22" s="35" t="str">
        <f aca="false">IF(Assumptions!U15="","",T22*(1+Assumptions!U15))</f>
        <v/>
      </c>
      <c r="V22" s="36" t="str">
        <f aca="false">IF(V19="","",1)</f>
        <v/>
      </c>
      <c r="W22" s="35" t="str">
        <f aca="false">IF(Assumptions!W15="","",V22*(1+Assumptions!W15))</f>
        <v/>
      </c>
      <c r="X22" s="35" t="str">
        <f aca="false">IF(Assumptions!X15="","",W22*(1+Assumptions!X15))</f>
        <v/>
      </c>
      <c r="Y22" s="35" t="str">
        <f aca="false">IF(Assumptions!Y15="","",X22*(1+Assumptions!Y15))</f>
        <v/>
      </c>
      <c r="Z22" s="35" t="str">
        <f aca="false">IF(Assumptions!Z15="","",Y22*(1+Assumptions!Z15))</f>
        <v/>
      </c>
      <c r="AA22" s="35" t="str">
        <f aca="false">IF(Assumptions!AA15="","",Z22*(1+Assumptions!AA15))</f>
        <v/>
      </c>
      <c r="AB22" s="35" t="str">
        <f aca="false">IF(Assumptions!AB15="","",AA22*(1+Assumptions!AB15))</f>
        <v/>
      </c>
    </row>
    <row r="23" customFormat="false" ht="15" hidden="false" customHeight="true" outlineLevel="0" collapsed="false">
      <c r="A23" s="18" t="s">
        <v>101</v>
      </c>
      <c r="B23" s="26" t="n">
        <f aca="false">IF(B19="","",B19)</f>
        <v>11237.2447301821</v>
      </c>
      <c r="C23" s="26" t="n">
        <f aca="false">IF(C19="","",C19)</f>
        <v>9027.5761148718</v>
      </c>
      <c r="D23" s="26" t="n">
        <f aca="false">IF(D19="","",D19)</f>
        <v>11726.2469177075</v>
      </c>
      <c r="E23" s="26" t="n">
        <f aca="false">IF(E19="","",E19)</f>
        <v>13055.5072457513</v>
      </c>
      <c r="F23" s="26" t="n">
        <f aca="false">IF(F19="","",F19)</f>
        <v>14764.7744281013</v>
      </c>
      <c r="G23" s="26" t="n">
        <f aca="false">IF(G19="","",G19)</f>
        <v>14171.8517329131</v>
      </c>
      <c r="H23" s="26" t="n">
        <f aca="false">IF(H19="","",H19)</f>
        <v>12790.7678786527</v>
      </c>
      <c r="I23" s="26" t="n">
        <f aca="false">IF(I19="","",I19)</f>
        <v>13225.6463713618</v>
      </c>
      <c r="J23" s="26" t="str">
        <f aca="false">IF(J19="","",J19)</f>
        <v/>
      </c>
      <c r="K23" s="26" t="str">
        <f aca="false">IF(K19="","",K19)</f>
        <v/>
      </c>
      <c r="L23" s="26" t="str">
        <f aca="false">IF(L19="","",L19)</f>
        <v/>
      </c>
      <c r="M23" s="26" t="str">
        <f aca="false">IF(M19="","",M19)</f>
        <v/>
      </c>
      <c r="N23" s="26" t="str">
        <f aca="false">IF(N19="","",N19)</f>
        <v/>
      </c>
      <c r="O23" s="26" t="str">
        <f aca="false">IF(O19="","",O19)</f>
        <v/>
      </c>
      <c r="P23" s="26" t="str">
        <f aca="false">IF(P19="","",P19)</f>
        <v/>
      </c>
      <c r="Q23" s="26" t="str">
        <f aca="false">IF(Q19="","",Q19)</f>
        <v/>
      </c>
      <c r="R23" s="26" t="str">
        <f aca="false">IF(R19="","",R19)</f>
        <v/>
      </c>
      <c r="S23" s="26" t="str">
        <f aca="false">IF(OR($I$19="",S20="",S21="",S22=""),"",$I$19*(S20*S21+(1-S20)*S22))</f>
        <v/>
      </c>
      <c r="T23" s="26" t="str">
        <f aca="false">IF(OR($I$19="",T20="",T21="",T22=""),"",$I$19*(T20*T21+(1-T20)*T22))</f>
        <v/>
      </c>
      <c r="U23" s="26" t="str">
        <f aca="false">IF(OR($I$19="",U20="",U21="",U22=""),"",$I$19*(U20*U21+(1-U20)*U22))</f>
        <v/>
      </c>
      <c r="V23" s="26" t="str">
        <f aca="false">IF(V19="","",V19)</f>
        <v/>
      </c>
      <c r="W23" s="26" t="str">
        <f aca="false">IF(OR($I$19="",W20="",W21="",W22=""),"",$I$19*(W20*W21+(1-W20)*W22))</f>
        <v/>
      </c>
      <c r="X23" s="26" t="str">
        <f aca="false">IF(OR($I$19="",X20="",X21="",X22=""),"",$I$19*(X20*X21+(1-X20)*X22))</f>
        <v/>
      </c>
      <c r="Y23" s="26" t="str">
        <f aca="false">IF(OR($I$19="",Y20="",Y21="",Y22=""),"",$I$19*(Y20*Y21+(1-Y20)*Y22))</f>
        <v/>
      </c>
      <c r="Z23" s="26" t="str">
        <f aca="false">IF(OR($I$19="",Z20="",Z21="",Z22=""),"",$I$19*(Z20*Z21+(1-Z20)*Z22))</f>
        <v/>
      </c>
      <c r="AA23" s="26" t="str">
        <f aca="false">IF(OR($I$19="",AA20="",AA21="",AA22=""),"",$I$19*(AA20*AA21+(1-AA20)*AA22))</f>
        <v/>
      </c>
      <c r="AB23" s="26" t="str">
        <f aca="false">IF(OR($I$19="",AB20="",AB21="",AB22=""),"",$I$19*(AB20*AB21+(1-AB20)*AB22))</f>
        <v/>
      </c>
    </row>
    <row r="24" customFormat="false" ht="15" hidden="false" customHeight="true" outlineLevel="0" collapsed="false">
      <c r="A24" s="18" t="s">
        <v>102</v>
      </c>
      <c r="B24" s="30" t="n">
        <f aca="false">IF(B18="","",B18)</f>
        <v>17021.13325352</v>
      </c>
      <c r="C24" s="30" t="n">
        <f aca="false">IF(C18="","",C18)</f>
        <v>17859.81353777</v>
      </c>
      <c r="D24" s="30" t="n">
        <f aca="false">IF(D18="","",D18)</f>
        <v>22102.63864773</v>
      </c>
      <c r="E24" s="30" t="n">
        <f aca="false">IF(E18="","",E18)</f>
        <v>50916.47825843</v>
      </c>
      <c r="F24" s="30" t="n">
        <f aca="false">IF(F18="","",F18)</f>
        <v>67032.07590358</v>
      </c>
      <c r="G24" s="30" t="n">
        <f aca="false">IF(G18="","",G18)</f>
        <v>66891.14017935</v>
      </c>
      <c r="H24" s="30" t="n">
        <f aca="false">IF(H18="","",H18)</f>
        <v>69965.50029623</v>
      </c>
      <c r="I24" s="30" t="n">
        <f aca="false">IF(I18="","",I18)</f>
        <v>83718.34153072</v>
      </c>
      <c r="J24" s="30" t="str">
        <f aca="false">IF(J18="","",J18)</f>
        <v/>
      </c>
      <c r="K24" s="30" t="str">
        <f aca="false">IF(K18="","",K18)</f>
        <v/>
      </c>
      <c r="L24" s="30" t="str">
        <f aca="false">IF(L18="","",L18)</f>
        <v/>
      </c>
      <c r="M24" s="30" t="str">
        <f aca="false">IF(M18="","",M18)</f>
        <v/>
      </c>
      <c r="N24" s="30" t="str">
        <f aca="false">IF(N18="","",N18)</f>
        <v/>
      </c>
      <c r="O24" s="30" t="str">
        <f aca="false">IF(O18="","",O18)</f>
        <v/>
      </c>
      <c r="P24" s="30" t="str">
        <f aca="false">IF(P18="","",P18)</f>
        <v/>
      </c>
      <c r="Q24" s="30" t="str">
        <f aca="false">IF(Q18="","",Q18)</f>
        <v/>
      </c>
      <c r="R24" s="30" t="str">
        <f aca="false">IF(R18="","",R18)</f>
        <v/>
      </c>
      <c r="S24" s="30" t="str">
        <f aca="false">IF(OR(S17="",S23=""),"",S17*S23/100)</f>
        <v/>
      </c>
      <c r="T24" s="30" t="str">
        <f aca="false">IF(OR(T17="",T23=""),"",T17*T23/100)</f>
        <v/>
      </c>
      <c r="U24" s="30" t="str">
        <f aca="false">IF(OR(U17="",U23=""),"",U17*U23/100)</f>
        <v/>
      </c>
      <c r="V24" s="30" t="str">
        <f aca="false">IF(V18="","",V18)</f>
        <v/>
      </c>
      <c r="W24" s="30" t="str">
        <f aca="false">IF(OR(W17="",W23=""),"",W17*W23/100)</f>
        <v/>
      </c>
      <c r="X24" s="30" t="str">
        <f aca="false">IF(OR(X17="",X23=""),"",X17*X23/100)</f>
        <v/>
      </c>
      <c r="Y24" s="30" t="str">
        <f aca="false">IF(OR(Y17="",Y23=""),"",Y17*Y23/100)</f>
        <v/>
      </c>
      <c r="Z24" s="30" t="str">
        <f aca="false">IF(OR(Z17="",Z23=""),"",Z17*Z23/100)</f>
        <v/>
      </c>
      <c r="AA24" s="30" t="str">
        <f aca="false">IF(OR(AA17="",AA23=""),"",AA17*AA23/100)</f>
        <v/>
      </c>
      <c r="AB24" s="30" t="str">
        <f aca="false">IF(OR(AB17="",AB23=""),"",AB17*AB23/100)</f>
        <v/>
      </c>
    </row>
    <row r="25" customFormat="false" ht="15" hidden="false" customHeight="true" outlineLevel="0" collapsed="false">
      <c r="A25" s="2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 customFormat="false" ht="15" hidden="false" customHeight="true" outlineLevel="0" collapsed="false">
      <c r="A26" s="21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customFormat="false" ht="15" hidden="false" customHeight="true" outlineLevel="0" collapsed="false">
      <c r="A27" s="17" t="s">
        <v>70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customFormat="false" ht="15" hidden="false" customHeight="true" outlineLevel="0" collapsed="false">
      <c r="A28" s="18" t="s">
        <v>95</v>
      </c>
      <c r="B28" s="33" t="n">
        <f aca="false">'Volume-Price'!B26</f>
        <v>32.1668</v>
      </c>
      <c r="C28" s="33" t="n">
        <f aca="false">'Volume-Price'!C26</f>
        <v>41.467</v>
      </c>
      <c r="D28" s="33" t="n">
        <f aca="false">'Volume-Price'!D26</f>
        <v>55.4944</v>
      </c>
      <c r="E28" s="33" t="n">
        <f aca="false">'Volume-Price'!E26</f>
        <v>76</v>
      </c>
      <c r="F28" s="33" t="n">
        <f aca="false">'Volume-Price'!F26</f>
        <v>95</v>
      </c>
      <c r="G28" s="33" t="n">
        <f aca="false">'Volume-Price'!G26</f>
        <v>159</v>
      </c>
      <c r="H28" s="33" t="n">
        <f aca="false">'Volume-Price'!H26</f>
        <v>203</v>
      </c>
      <c r="I28" s="33" t="n">
        <f aca="false">'Volume-Price'!I26</f>
        <v>256</v>
      </c>
      <c r="J28" s="33" t="n">
        <f aca="false">'Volume-Price'!J26</f>
        <v>44</v>
      </c>
      <c r="K28" s="33" t="n">
        <f aca="false">'Volume-Price'!K26</f>
        <v>48</v>
      </c>
      <c r="L28" s="33" t="n">
        <f aca="false">'Volume-Price'!L26</f>
        <v>50</v>
      </c>
      <c r="M28" s="33" t="n">
        <f aca="false">'Volume-Price'!M26</f>
        <v>61</v>
      </c>
      <c r="N28" s="33" t="n">
        <f aca="false">'Volume-Price'!N26</f>
        <v>54</v>
      </c>
      <c r="O28" s="33" t="n">
        <f aca="false">'Volume-Price'!O26</f>
        <v>65</v>
      </c>
      <c r="P28" s="33" t="n">
        <f aca="false">'Volume-Price'!P26</f>
        <v>65</v>
      </c>
      <c r="Q28" s="33" t="n">
        <f aca="false">'Volume-Price'!Q26</f>
        <v>72</v>
      </c>
      <c r="R28" s="33" t="n">
        <f aca="false">'Volume-Price'!R26</f>
        <v>73</v>
      </c>
      <c r="S28" s="33" t="str">
        <f aca="false">'Volume-Price'!S26</f>
        <v/>
      </c>
      <c r="T28" s="33" t="str">
        <f aca="false">'Volume-Price'!T26</f>
        <v/>
      </c>
      <c r="U28" s="33" t="str">
        <f aca="false">'Volume-Price'!U26</f>
        <v/>
      </c>
      <c r="V28" s="33" t="n">
        <f aca="false">'Volume-Price'!V26</f>
        <v>75</v>
      </c>
      <c r="W28" s="33" t="str">
        <f aca="false">'Volume-Price'!W26</f>
        <v/>
      </c>
      <c r="X28" s="33" t="str">
        <f aca="false">'Volume-Price'!X26</f>
        <v/>
      </c>
      <c r="Y28" s="33" t="str">
        <f aca="false">'Volume-Price'!Y26</f>
        <v/>
      </c>
      <c r="Z28" s="33" t="str">
        <f aca="false">'Volume-Price'!Z26</f>
        <v/>
      </c>
      <c r="AA28" s="33" t="str">
        <f aca="false">'Volume-Price'!AA26</f>
        <v/>
      </c>
      <c r="AB28" s="33" t="str">
        <f aca="false">'Volume-Price'!AB26</f>
        <v/>
      </c>
    </row>
    <row r="29" customFormat="false" ht="15" hidden="false" customHeight="true" outlineLevel="0" collapsed="false">
      <c r="A29" s="18" t="s">
        <v>96</v>
      </c>
      <c r="B29" s="29" t="n">
        <v>3916.33684331</v>
      </c>
      <c r="C29" s="29" t="n">
        <v>5271.26302054</v>
      </c>
      <c r="D29" s="29" t="n">
        <v>5927.57634281</v>
      </c>
      <c r="E29" s="29" t="n">
        <v>12177.19907928</v>
      </c>
      <c r="F29" s="29" t="n">
        <v>20124.15835568</v>
      </c>
      <c r="G29" s="29" t="n">
        <v>18731.47520707</v>
      </c>
      <c r="H29" s="29" t="n">
        <v>24661.11634541</v>
      </c>
      <c r="I29" s="29" t="n">
        <v>29695.75775866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customFormat="false" ht="15" hidden="false" customHeight="true" outlineLevel="0" collapsed="false">
      <c r="A30" s="18" t="s">
        <v>97</v>
      </c>
      <c r="B30" s="26" t="n">
        <f aca="false">IFERROR(IF(OR(B28="",B28=0,B29=""),"",B29/B28*100),"")</f>
        <v>12175.0899788291</v>
      </c>
      <c r="C30" s="26" t="n">
        <f aca="false">IFERROR(IF(OR(C28="",C28=0,C29=""),"",C29/C28*100),"")</f>
        <v>12711.9468988352</v>
      </c>
      <c r="D30" s="26" t="n">
        <f aca="false">IFERROR(IF(OR(D28="",D28=0,D29=""),"",D29/D28*100),"")</f>
        <v>10681.3954972213</v>
      </c>
      <c r="E30" s="26" t="n">
        <f aca="false">IFERROR(IF(OR(E28="",E28=0,E29=""),"",E29/E28*100),"")</f>
        <v>16022.6303674737</v>
      </c>
      <c r="F30" s="26" t="n">
        <f aca="false">IFERROR(IF(OR(F28="",F28=0,F29=""),"",F29/F28*100),"")</f>
        <v>21183.3245849263</v>
      </c>
      <c r="G30" s="26" t="n">
        <f aca="false">IFERROR(IF(OR(G28="",G28=0,G29=""),"",G29/G28*100),"")</f>
        <v>11780.8020170252</v>
      </c>
      <c r="H30" s="26" t="n">
        <f aca="false">IFERROR(IF(OR(H28="",H28=0,H29=""),"",H29/H28*100),"")</f>
        <v>12148.3331750788</v>
      </c>
      <c r="I30" s="26" t="n">
        <f aca="false">IFERROR(IF(OR(I28="",I28=0,I29=""),"",I29/I28*100),"")</f>
        <v>11599.9053744766</v>
      </c>
      <c r="J30" s="26" t="str">
        <f aca="false">IFERROR(IF(OR(J28="",J28=0,J29=""),"",J29/J28*100),"")</f>
        <v/>
      </c>
      <c r="K30" s="26" t="str">
        <f aca="false">IFERROR(IF(OR(K28="",K28=0,K29=""),"",K29/K28*100),"")</f>
        <v/>
      </c>
      <c r="L30" s="26" t="str">
        <f aca="false">IFERROR(IF(OR(L28="",L28=0,L29=""),"",L29/L28*100),"")</f>
        <v/>
      </c>
      <c r="M30" s="26" t="str">
        <f aca="false">IFERROR(IF(OR(M28="",M28=0,M29=""),"",M29/M28*100),"")</f>
        <v/>
      </c>
      <c r="N30" s="26" t="str">
        <f aca="false">IFERROR(IF(OR(N28="",N28=0,N29=""),"",N29/N28*100),"")</f>
        <v/>
      </c>
      <c r="O30" s="26" t="str">
        <f aca="false">IFERROR(IF(OR(O28="",O28=0,O29=""),"",O29/O28*100),"")</f>
        <v/>
      </c>
      <c r="P30" s="26" t="str">
        <f aca="false">IFERROR(IF(OR(P28="",P28=0,P29=""),"",P29/P28*100),"")</f>
        <v/>
      </c>
      <c r="Q30" s="26" t="str">
        <f aca="false">IFERROR(IF(OR(Q28="",Q28=0,Q29=""),"",Q29/Q28*100),"")</f>
        <v/>
      </c>
      <c r="R30" s="26" t="str">
        <f aca="false">IFERROR(IF(OR(R28="",R28=0,R29=""),"",R29/R28*100),"")</f>
        <v/>
      </c>
      <c r="S30" s="26" t="str">
        <f aca="false">IFERROR(IF(OR(S28="",S28=0,S29=""),"",S29/S28*100),"")</f>
        <v/>
      </c>
      <c r="T30" s="26" t="str">
        <f aca="false">IFERROR(IF(OR(T28="",T28=0,T29=""),"",T29/T28*100),"")</f>
        <v/>
      </c>
      <c r="U30" s="26" t="str">
        <f aca="false">IFERROR(IF(OR(U28="",U28=0,U29=""),"",U29/U28*100),"")</f>
        <v/>
      </c>
      <c r="V30" s="26" t="str">
        <f aca="false">IFERROR(IF(OR(V28="",V28=0,V29=""),"",V29/V28*100),"")</f>
        <v/>
      </c>
      <c r="W30" s="26" t="str">
        <f aca="false">IFERROR(IF(OR(W28="",W28=0,W29=""),"",W29/W28*100),"")</f>
        <v/>
      </c>
      <c r="X30" s="26" t="str">
        <f aca="false">IFERROR(IF(OR(X28="",X28=0,X29=""),"",X29/X28*100),"")</f>
        <v/>
      </c>
      <c r="Y30" s="26" t="str">
        <f aca="false">IFERROR(IF(OR(Y28="",Y28=0,Y29=""),"",Y29/Y28*100),"")</f>
        <v/>
      </c>
      <c r="Z30" s="26" t="str">
        <f aca="false">IFERROR(IF(OR(Z28="",Z28=0,Z29=""),"",Z29/Z28*100),"")</f>
        <v/>
      </c>
      <c r="AA30" s="26" t="str">
        <f aca="false">IFERROR(IF(OR(AA28="",AA28=0,AA29=""),"",AA29/AA28*100),"")</f>
        <v/>
      </c>
      <c r="AB30" s="26" t="str">
        <f aca="false">IFERROR(IF(OR(AB28="",AB28=0,AB29=""),"",AB29/AB28*100),"")</f>
        <v/>
      </c>
    </row>
    <row r="31" customFormat="false" ht="15" hidden="false" customHeight="true" outlineLevel="0" collapsed="false">
      <c r="A31" s="18" t="s">
        <v>98</v>
      </c>
      <c r="B31" s="34" t="n">
        <v>0.7669</v>
      </c>
      <c r="C31" s="34" t="n">
        <v>0.7282</v>
      </c>
      <c r="D31" s="34" t="n">
        <v>0.7171</v>
      </c>
      <c r="E31" s="34" t="n">
        <v>0.7835</v>
      </c>
      <c r="F31" s="34" t="n">
        <v>0.7578</v>
      </c>
      <c r="G31" s="34" t="n">
        <v>0.6871</v>
      </c>
      <c r="H31" s="34" t="n">
        <v>0.7111</v>
      </c>
      <c r="I31" s="34" t="n">
        <v>0.6969</v>
      </c>
      <c r="J31" s="19"/>
      <c r="K31" s="19"/>
      <c r="L31" s="19"/>
      <c r="M31" s="19"/>
      <c r="N31" s="19"/>
      <c r="O31" s="19"/>
      <c r="P31" s="19"/>
      <c r="Q31" s="19"/>
      <c r="R31" s="19"/>
      <c r="S31" s="32" t="str">
        <f aca="false">IF(Assumptions!S20="","",Assumptions!S20)</f>
        <v/>
      </c>
      <c r="T31" s="32" t="str">
        <f aca="false">IF(Assumptions!T20="","",Assumptions!T20)</f>
        <v/>
      </c>
      <c r="U31" s="32" t="str">
        <f aca="false">IF(Assumptions!U20="","",Assumptions!U20)</f>
        <v/>
      </c>
      <c r="V31" s="19" t="str">
        <f aca="false">IF(Assumptions!V20="","",Assumptions!V20)</f>
        <v/>
      </c>
      <c r="W31" s="32" t="str">
        <f aca="false">IF(Assumptions!W20="","",Assumptions!W20)</f>
        <v/>
      </c>
      <c r="X31" s="32" t="str">
        <f aca="false">IF(Assumptions!X20="","",Assumptions!X20)</f>
        <v/>
      </c>
      <c r="Y31" s="32" t="str">
        <f aca="false">IF(Assumptions!Y20="","",Assumptions!Y20)</f>
        <v/>
      </c>
      <c r="Z31" s="32" t="str">
        <f aca="false">IF(Assumptions!Z20="","",Assumptions!Z20)</f>
        <v/>
      </c>
      <c r="AA31" s="32" t="str">
        <f aca="false">IF(Assumptions!AA20="","",Assumptions!AA20)</f>
        <v/>
      </c>
      <c r="AB31" s="32" t="str">
        <f aca="false">IF(Assumptions!AB20="","",Assumptions!AB20)</f>
        <v/>
      </c>
    </row>
    <row r="32" customFormat="false" ht="15" hidden="false" customHeight="true" outlineLevel="0" collapsed="false">
      <c r="A32" s="18" t="s">
        <v>99</v>
      </c>
      <c r="B32" s="35" t="str">
        <f aca="false">IFERROR(IF(OR('Price Inputs'!B$6="",'Price Inputs'!$I$6=""),"",'Price Inputs'!B$6/'Price Inputs'!$I$6),"")</f>
        <v/>
      </c>
      <c r="C32" s="35" t="n">
        <f aca="false">IFERROR(IF(OR('Price Inputs'!C$6="",'Price Inputs'!$I$6=""),"",'Price Inputs'!C$6/'Price Inputs'!$I$6),"")</f>
        <v>0.803591301566997</v>
      </c>
      <c r="D32" s="35" t="n">
        <f aca="false">IFERROR(IF(OR('Price Inputs'!D$6="",'Price Inputs'!$I$6=""),"",'Price Inputs'!D$6/'Price Inputs'!$I$6),"")</f>
        <v>0.628237927726255</v>
      </c>
      <c r="E32" s="35" t="n">
        <f aca="false">IFERROR(IF(OR('Price Inputs'!E$6="",'Price Inputs'!$I$6=""),"",'Price Inputs'!E$6/'Price Inputs'!$I$6),"")</f>
        <v>1.13671250399744</v>
      </c>
      <c r="F32" s="35" t="n">
        <f aca="false">IFERROR(IF(OR('Price Inputs'!F$6="",'Price Inputs'!$I$6=""),"",'Price Inputs'!F$6/'Price Inputs'!$I$6),"")</f>
        <v>1.29916853213943</v>
      </c>
      <c r="G32" s="35" t="n">
        <f aca="false">IFERROR(IF(OR('Price Inputs'!G$6="",'Price Inputs'!$I$6=""),"",'Price Inputs'!G$6/'Price Inputs'!$I$6),"")</f>
        <v>1.15925807483211</v>
      </c>
      <c r="H32" s="35" t="n">
        <f aca="false">IFERROR(IF(OR('Price Inputs'!H$6="",'Price Inputs'!$I$6=""),"",'Price Inputs'!H$6/'Price Inputs'!$I$6),"")</f>
        <v>1.3271506236009</v>
      </c>
      <c r="I32" s="35" t="n">
        <f aca="false">IFERROR(IF(OR('Price Inputs'!I$6="",'Price Inputs'!$I$6=""),"",'Price Inputs'!I$6/'Price Inputs'!$I$6),"")</f>
        <v>1</v>
      </c>
      <c r="J32" s="35" t="n">
        <f aca="false">IFERROR(IF(OR('Price Inputs'!J$6="",'Price Inputs'!$I$6=""),"",'Price Inputs'!J$6/'Price Inputs'!$I$6),"")</f>
        <v>1.31771666133674</v>
      </c>
      <c r="K32" s="35" t="str">
        <f aca="false">IFERROR(IF(OR('Price Inputs'!K$6="",'Price Inputs'!$I$6=""),"",'Price Inputs'!K$6/'Price Inputs'!$I$6),"")</f>
        <v/>
      </c>
      <c r="L32" s="35" t="n">
        <f aca="false">IFERROR(IF(OR('Price Inputs'!L$6="",'Price Inputs'!$I$6=""),"",'Price Inputs'!L$6/'Price Inputs'!$I$6),"")</f>
        <v>1.34985609210106</v>
      </c>
      <c r="M32" s="35" t="str">
        <f aca="false">IFERROR(IF(OR('Price Inputs'!M$6="",'Price Inputs'!$I$6=""),"",'Price Inputs'!M$6/'Price Inputs'!$I$6),"")</f>
        <v/>
      </c>
      <c r="N32" s="35" t="n">
        <f aca="false">IFERROR(IF(OR('Price Inputs'!N$6="",'Price Inputs'!$I$6=""),"",'Price Inputs'!N$6/'Price Inputs'!$I$6),"")</f>
        <v>1.189318835945</v>
      </c>
      <c r="O32" s="35" t="str">
        <f aca="false">IFERROR(IF(OR('Price Inputs'!O$6="",'Price Inputs'!$I$6=""),"",'Price Inputs'!O$6/'Price Inputs'!$I$6),"")</f>
        <v/>
      </c>
      <c r="P32" s="35" t="n">
        <f aca="false">IFERROR(IF(OR('Price Inputs'!P$6="",'Price Inputs'!$I$6=""),"",'Price Inputs'!P$6/'Price Inputs'!$I$6),"")</f>
        <v>0.944195714742565</v>
      </c>
      <c r="Q32" s="35" t="str">
        <f aca="false">IFERROR(IF(OR('Price Inputs'!Q$6="",'Price Inputs'!$I$6=""),"",'Price Inputs'!Q$6/'Price Inputs'!$I$6),"")</f>
        <v/>
      </c>
      <c r="R32" s="35" t="n">
        <f aca="false">IFERROR(IF(OR('Price Inputs'!R$6="",'Price Inputs'!$I$6=""),"",'Price Inputs'!R$6/'Price Inputs'!$I$6),"")</f>
        <v>1.02590342181004</v>
      </c>
      <c r="S32" s="35" t="str">
        <f aca="false">IFERROR(IF(OR('Price Inputs'!S$6="",'Price Inputs'!$I$6=""),"",'Price Inputs'!S$6/'Price Inputs'!$I$6),"")</f>
        <v/>
      </c>
      <c r="T32" s="35" t="str">
        <f aca="false">IFERROR(IF(OR('Price Inputs'!T$6="",'Price Inputs'!$I$6=""),"",'Price Inputs'!T$6/'Price Inputs'!$I$6),"")</f>
        <v/>
      </c>
      <c r="U32" s="35" t="str">
        <f aca="false">IFERROR(IF(OR('Price Inputs'!U$6="",'Price Inputs'!$I$6=""),"",'Price Inputs'!U$6/'Price Inputs'!$I$6),"")</f>
        <v/>
      </c>
      <c r="V32" s="35" t="str">
        <f aca="false">'Price Inputs'!V7</f>
        <v/>
      </c>
      <c r="W32" s="35" t="str">
        <f aca="false">IFERROR(IF(OR('Price Inputs'!W$6="",'Price Inputs'!$I$6=""),"",'Price Inputs'!W$6/'Price Inputs'!$I$6),"")</f>
        <v/>
      </c>
      <c r="X32" s="35" t="str">
        <f aca="false">IFERROR(IF(OR('Price Inputs'!X$6="",'Price Inputs'!$I$6=""),"",'Price Inputs'!X$6/'Price Inputs'!$I$6),"")</f>
        <v/>
      </c>
      <c r="Y32" s="35" t="str">
        <f aca="false">IFERROR(IF(OR('Price Inputs'!Y$6="",'Price Inputs'!$I$6=""),"",'Price Inputs'!Y$6/'Price Inputs'!$I$6),"")</f>
        <v/>
      </c>
      <c r="Z32" s="35" t="str">
        <f aca="false">IFERROR(IF(OR('Price Inputs'!Z$6="",'Price Inputs'!$I$6=""),"",'Price Inputs'!Z$6/'Price Inputs'!$I$6),"")</f>
        <v/>
      </c>
      <c r="AA32" s="35" t="str">
        <f aca="false">IFERROR(IF(OR('Price Inputs'!AA$6="",'Price Inputs'!$I$6=""),"",'Price Inputs'!AA$6/'Price Inputs'!$I$6),"")</f>
        <v/>
      </c>
      <c r="AB32" s="35" t="str">
        <f aca="false">IFERROR(IF(OR('Price Inputs'!AB$6="",'Price Inputs'!$I$6=""),"",'Price Inputs'!AB$6/'Price Inputs'!$I$6),"")</f>
        <v/>
      </c>
    </row>
    <row r="33" customFormat="false" ht="15" hidden="false" customHeight="true" outlineLevel="0" collapsed="false">
      <c r="A33" s="18" t="s">
        <v>100</v>
      </c>
      <c r="B33" s="36" t="n">
        <f aca="false">IF(B30="","",1)</f>
        <v>1</v>
      </c>
      <c r="C33" s="36" t="n">
        <f aca="false">IF(C30="","",1)</f>
        <v>1</v>
      </c>
      <c r="D33" s="36" t="n">
        <f aca="false">IF(D30="","",1)</f>
        <v>1</v>
      </c>
      <c r="E33" s="36" t="n">
        <f aca="false">IF(E30="","",1)</f>
        <v>1</v>
      </c>
      <c r="F33" s="36" t="n">
        <f aca="false">IF(F30="","",1)</f>
        <v>1</v>
      </c>
      <c r="G33" s="36" t="n">
        <f aca="false">IF(G30="","",1)</f>
        <v>1</v>
      </c>
      <c r="H33" s="36" t="n">
        <f aca="false">IF(H30="","",1)</f>
        <v>1</v>
      </c>
      <c r="I33" s="36" t="n">
        <f aca="false">IF(I30="","",1)</f>
        <v>1</v>
      </c>
      <c r="J33" s="36" t="str">
        <f aca="false">IF(J30="","",1)</f>
        <v/>
      </c>
      <c r="K33" s="36" t="str">
        <f aca="false">IF(K30="","",1)</f>
        <v/>
      </c>
      <c r="L33" s="36" t="str">
        <f aca="false">IF(L30="","",1)</f>
        <v/>
      </c>
      <c r="M33" s="36" t="str">
        <f aca="false">IF(M30="","",1)</f>
        <v/>
      </c>
      <c r="N33" s="36" t="str">
        <f aca="false">IF(N30="","",1)</f>
        <v/>
      </c>
      <c r="O33" s="36" t="str">
        <f aca="false">IF(O30="","",1)</f>
        <v/>
      </c>
      <c r="P33" s="36" t="str">
        <f aca="false">IF(P30="","",1)</f>
        <v/>
      </c>
      <c r="Q33" s="36" t="str">
        <f aca="false">IF(Q30="","",1)</f>
        <v/>
      </c>
      <c r="R33" s="36" t="str">
        <f aca="false">IF(R30="","",1)</f>
        <v/>
      </c>
      <c r="S33" s="35" t="str">
        <f aca="false">IF(Assumptions!S21="","",1*(1+Assumptions!S21))</f>
        <v/>
      </c>
      <c r="T33" s="35" t="str">
        <f aca="false">IF(Assumptions!T21="","",S33*(1+Assumptions!T21))</f>
        <v/>
      </c>
      <c r="U33" s="35" t="str">
        <f aca="false">IF(Assumptions!U21="","",T33*(1+Assumptions!U21))</f>
        <v/>
      </c>
      <c r="V33" s="36" t="str">
        <f aca="false">IF(V30="","",1)</f>
        <v/>
      </c>
      <c r="W33" s="35" t="str">
        <f aca="false">IF(Assumptions!W21="","",V33*(1+Assumptions!W21))</f>
        <v/>
      </c>
      <c r="X33" s="35" t="str">
        <f aca="false">IF(Assumptions!X21="","",W33*(1+Assumptions!X21))</f>
        <v/>
      </c>
      <c r="Y33" s="35" t="str">
        <f aca="false">IF(Assumptions!Y21="","",X33*(1+Assumptions!Y21))</f>
        <v/>
      </c>
      <c r="Z33" s="35" t="str">
        <f aca="false">IF(Assumptions!Z21="","",Y33*(1+Assumptions!Z21))</f>
        <v/>
      </c>
      <c r="AA33" s="35" t="str">
        <f aca="false">IF(Assumptions!AA21="","",Z33*(1+Assumptions!AA21))</f>
        <v/>
      </c>
      <c r="AB33" s="35" t="str">
        <f aca="false">IF(Assumptions!AB21="","",AA33*(1+Assumptions!AB21))</f>
        <v/>
      </c>
    </row>
    <row r="34" customFormat="false" ht="15" hidden="false" customHeight="true" outlineLevel="0" collapsed="false">
      <c r="A34" s="18" t="s">
        <v>101</v>
      </c>
      <c r="B34" s="26" t="n">
        <f aca="false">IF(B30="","",B30)</f>
        <v>12175.0899788291</v>
      </c>
      <c r="C34" s="26" t="n">
        <f aca="false">IF(C30="","",C30)</f>
        <v>12711.9468988352</v>
      </c>
      <c r="D34" s="26" t="n">
        <f aca="false">IF(D30="","",D30)</f>
        <v>10681.3954972213</v>
      </c>
      <c r="E34" s="26" t="n">
        <f aca="false">IF(E30="","",E30)</f>
        <v>16022.6303674737</v>
      </c>
      <c r="F34" s="26" t="n">
        <f aca="false">IF(F30="","",F30)</f>
        <v>21183.3245849263</v>
      </c>
      <c r="G34" s="26" t="n">
        <f aca="false">IF(G30="","",G30)</f>
        <v>11780.8020170252</v>
      </c>
      <c r="H34" s="26" t="n">
        <f aca="false">IF(H30="","",H30)</f>
        <v>12148.3331750788</v>
      </c>
      <c r="I34" s="26" t="n">
        <f aca="false">IF(I30="","",I30)</f>
        <v>11599.9053744766</v>
      </c>
      <c r="J34" s="26" t="str">
        <f aca="false">IF(J30="","",J30)</f>
        <v/>
      </c>
      <c r="K34" s="26" t="str">
        <f aca="false">IF(K30="","",K30)</f>
        <v/>
      </c>
      <c r="L34" s="26" t="str">
        <f aca="false">IF(L30="","",L30)</f>
        <v/>
      </c>
      <c r="M34" s="26" t="str">
        <f aca="false">IF(M30="","",M30)</f>
        <v/>
      </c>
      <c r="N34" s="26" t="str">
        <f aca="false">IF(N30="","",N30)</f>
        <v/>
      </c>
      <c r="O34" s="26" t="str">
        <f aca="false">IF(O30="","",O30)</f>
        <v/>
      </c>
      <c r="P34" s="26" t="str">
        <f aca="false">IF(P30="","",P30)</f>
        <v/>
      </c>
      <c r="Q34" s="26" t="str">
        <f aca="false">IF(Q30="","",Q30)</f>
        <v/>
      </c>
      <c r="R34" s="26" t="str">
        <f aca="false">IF(R30="","",R30)</f>
        <v/>
      </c>
      <c r="S34" s="26" t="str">
        <f aca="false">IF(OR($I$30="",S31="",S32="",S33=""),"",$I$30*(S31*S32+(1-S31)*S33))</f>
        <v/>
      </c>
      <c r="T34" s="26" t="str">
        <f aca="false">IF(OR($I$30="",T31="",T32="",T33=""),"",$I$30*(T31*T32+(1-T31)*T33))</f>
        <v/>
      </c>
      <c r="U34" s="26" t="str">
        <f aca="false">IF(OR($I$30="",U31="",U32="",U33=""),"",$I$30*(U31*U32+(1-U31)*U33))</f>
        <v/>
      </c>
      <c r="V34" s="26" t="str">
        <f aca="false">IF(V30="","",V30)</f>
        <v/>
      </c>
      <c r="W34" s="26" t="str">
        <f aca="false">IF(OR($I$30="",W31="",W32="",W33=""),"",$I$30*(W31*W32+(1-W31)*W33))</f>
        <v/>
      </c>
      <c r="X34" s="26" t="str">
        <f aca="false">IF(OR($I$30="",X31="",X32="",X33=""),"",$I$30*(X31*X32+(1-X31)*X33))</f>
        <v/>
      </c>
      <c r="Y34" s="26" t="str">
        <f aca="false">IF(OR($I$30="",Y31="",Y32="",Y33=""),"",$I$30*(Y31*Y32+(1-Y31)*Y33))</f>
        <v/>
      </c>
      <c r="Z34" s="26" t="str">
        <f aca="false">IF(OR($I$30="",Z31="",Z32="",Z33=""),"",$I$30*(Z31*Z32+(1-Z31)*Z33))</f>
        <v/>
      </c>
      <c r="AA34" s="26" t="str">
        <f aca="false">IF(OR($I$30="",AA31="",AA32="",AA33=""),"",$I$30*(AA31*AA32+(1-AA31)*AA33))</f>
        <v/>
      </c>
      <c r="AB34" s="26" t="str">
        <f aca="false">IF(OR($I$30="",AB31="",AB32="",AB33=""),"",$I$30*(AB31*AB32+(1-AB31)*AB33))</f>
        <v/>
      </c>
    </row>
    <row r="35" customFormat="false" ht="15" hidden="false" customHeight="true" outlineLevel="0" collapsed="false">
      <c r="A35" s="18" t="s">
        <v>102</v>
      </c>
      <c r="B35" s="30" t="n">
        <f aca="false">IF(B29="","",B29)</f>
        <v>3916.33684331</v>
      </c>
      <c r="C35" s="30" t="n">
        <f aca="false">IF(C29="","",C29)</f>
        <v>5271.26302054</v>
      </c>
      <c r="D35" s="30" t="n">
        <f aca="false">IF(D29="","",D29)</f>
        <v>5927.57634281</v>
      </c>
      <c r="E35" s="30" t="n">
        <f aca="false">IF(E29="","",E29)</f>
        <v>12177.19907928</v>
      </c>
      <c r="F35" s="30" t="n">
        <f aca="false">IF(F29="","",F29)</f>
        <v>20124.15835568</v>
      </c>
      <c r="G35" s="30" t="n">
        <f aca="false">IF(G29="","",G29)</f>
        <v>18731.47520707</v>
      </c>
      <c r="H35" s="30" t="n">
        <f aca="false">IF(H29="","",H29)</f>
        <v>24661.11634541</v>
      </c>
      <c r="I35" s="30" t="n">
        <f aca="false">IF(I29="","",I29)</f>
        <v>29695.75775866</v>
      </c>
      <c r="J35" s="30" t="str">
        <f aca="false">IF(J29="","",J29)</f>
        <v/>
      </c>
      <c r="K35" s="30" t="str">
        <f aca="false">IF(K29="","",K29)</f>
        <v/>
      </c>
      <c r="L35" s="30" t="str">
        <f aca="false">IF(L29="","",L29)</f>
        <v/>
      </c>
      <c r="M35" s="30" t="str">
        <f aca="false">IF(M29="","",M29)</f>
        <v/>
      </c>
      <c r="N35" s="30" t="str">
        <f aca="false">IF(N29="","",N29)</f>
        <v/>
      </c>
      <c r="O35" s="30" t="str">
        <f aca="false">IF(O29="","",O29)</f>
        <v/>
      </c>
      <c r="P35" s="30" t="str">
        <f aca="false">IF(P29="","",P29)</f>
        <v/>
      </c>
      <c r="Q35" s="30" t="str">
        <f aca="false">IF(Q29="","",Q29)</f>
        <v/>
      </c>
      <c r="R35" s="30" t="str">
        <f aca="false">IF(R29="","",R29)</f>
        <v/>
      </c>
      <c r="S35" s="30" t="str">
        <f aca="false">IF(OR(S28="",S34=""),"",S28*S34/100)</f>
        <v/>
      </c>
      <c r="T35" s="30" t="str">
        <f aca="false">IF(OR(T28="",T34=""),"",T28*T34/100)</f>
        <v/>
      </c>
      <c r="U35" s="30" t="str">
        <f aca="false">IF(OR(U28="",U34=""),"",U28*U34/100)</f>
        <v/>
      </c>
      <c r="V35" s="30" t="str">
        <f aca="false">IF(V29="","",V29)</f>
        <v/>
      </c>
      <c r="W35" s="30" t="str">
        <f aca="false">IF(OR(W28="",W34=""),"",W28*W34/100)</f>
        <v/>
      </c>
      <c r="X35" s="30" t="str">
        <f aca="false">IF(OR(X28="",X34=""),"",X28*X34/100)</f>
        <v/>
      </c>
      <c r="Y35" s="30" t="str">
        <f aca="false">IF(OR(Y28="",Y34=""),"",Y28*Y34/100)</f>
        <v/>
      </c>
      <c r="Z35" s="30" t="str">
        <f aca="false">IF(OR(Z28="",Z34=""),"",Z28*Z34/100)</f>
        <v/>
      </c>
      <c r="AA35" s="30" t="str">
        <f aca="false">IF(OR(AA28="",AA34=""),"",AA28*AA34/100)</f>
        <v/>
      </c>
      <c r="AB35" s="30" t="str">
        <f aca="false">IF(OR(AB28="",AB34=""),"",AB28*AB34/100)</f>
        <v/>
      </c>
    </row>
    <row r="36" customFormat="false" ht="15" hidden="false" customHeight="true" outlineLevel="0" collapsed="false">
      <c r="A36" s="2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 customFormat="false" ht="15" hidden="false" customHeight="true" outlineLevel="0" collapsed="false">
      <c r="A37" s="21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</sheetData>
  <mergeCells count="5">
    <mergeCell ref="A1:AB1"/>
    <mergeCell ref="A2:AB2"/>
    <mergeCell ref="A5:AB5"/>
    <mergeCell ref="A16:AB16"/>
    <mergeCell ref="A27:AB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52.77"/>
    <col collapsed="false" customWidth="true" hidden="false" outlineLevel="0" max="28" min="2" style="1" width="11.83"/>
  </cols>
  <sheetData>
    <row r="1" customFormat="false" ht="18" hidden="false" customHeight="true" outlineLevel="0" collapsed="false">
      <c r="A1" s="13" t="s">
        <v>103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customFormat="false" ht="15" hidden="false" customHeight="true" outlineLevel="0" collapsed="false">
      <c r="A2" s="3" t="s">
        <v>104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4" customFormat="false" ht="15" hidden="false" customHeight="true" outlineLevel="0" collapsed="false">
      <c r="A4" s="14" t="s">
        <v>36</v>
      </c>
      <c r="B4" s="14" t="s">
        <v>37</v>
      </c>
      <c r="C4" s="14" t="s">
        <v>38</v>
      </c>
      <c r="D4" s="14" t="s">
        <v>39</v>
      </c>
      <c r="E4" s="14" t="s">
        <v>40</v>
      </c>
      <c r="F4" s="14" t="s">
        <v>41</v>
      </c>
      <c r="G4" s="14" t="s">
        <v>42</v>
      </c>
      <c r="H4" s="14" t="s">
        <v>43</v>
      </c>
      <c r="I4" s="14" t="s">
        <v>44</v>
      </c>
      <c r="J4" s="15" t="s">
        <v>45</v>
      </c>
      <c r="K4" s="15" t="s">
        <v>46</v>
      </c>
      <c r="L4" s="15" t="s">
        <v>47</v>
      </c>
      <c r="M4" s="15" t="s">
        <v>48</v>
      </c>
      <c r="N4" s="15" t="s">
        <v>49</v>
      </c>
      <c r="O4" s="15" t="s">
        <v>50</v>
      </c>
      <c r="P4" s="15" t="s">
        <v>51</v>
      </c>
      <c r="Q4" s="15" t="s">
        <v>52</v>
      </c>
      <c r="R4" s="15" t="s">
        <v>53</v>
      </c>
      <c r="S4" s="16" t="s">
        <v>54</v>
      </c>
      <c r="T4" s="16" t="s">
        <v>55</v>
      </c>
      <c r="U4" s="16" t="s">
        <v>56</v>
      </c>
      <c r="V4" s="15" t="s">
        <v>57</v>
      </c>
      <c r="W4" s="16" t="s">
        <v>58</v>
      </c>
      <c r="X4" s="16" t="s">
        <v>59</v>
      </c>
      <c r="Y4" s="16" t="s">
        <v>60</v>
      </c>
      <c r="Z4" s="16" t="s">
        <v>61</v>
      </c>
      <c r="AA4" s="16" t="s">
        <v>62</v>
      </c>
      <c r="AB4" s="16" t="s">
        <v>63</v>
      </c>
    </row>
    <row r="5" customFormat="false" ht="15" hidden="false" customHeight="true" outlineLevel="0" collapsed="false">
      <c r="A5" s="17" t="s">
        <v>64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customFormat="false" ht="15" hidden="false" customHeight="true" outlineLevel="0" collapsed="false">
      <c r="A6" s="18" t="s">
        <v>105</v>
      </c>
      <c r="B6" s="33" t="n">
        <f aca="false">'Volume-Price'!B12</f>
        <v>30951.89191157</v>
      </c>
      <c r="C6" s="33" t="n">
        <f aca="false">'Volume-Price'!C12</f>
        <v>31858.13219696</v>
      </c>
      <c r="D6" s="33" t="n">
        <f aca="false">'Volume-Price'!D12</f>
        <v>34416.86600797</v>
      </c>
      <c r="E6" s="33" t="n">
        <f aca="false">'Volume-Price'!E12</f>
        <v>60492.2247774</v>
      </c>
      <c r="F6" s="33" t="n">
        <f aca="false">'Volume-Price'!F12</f>
        <v>62895.62798713</v>
      </c>
      <c r="G6" s="33" t="n">
        <f aca="false">'Volume-Price'!G12</f>
        <v>67386.16027612</v>
      </c>
      <c r="H6" s="33" t="n">
        <f aca="false">'Volume-Price'!H12</f>
        <v>75844.15007836</v>
      </c>
      <c r="I6" s="33" t="n">
        <f aca="false">'Volume-Price'!I12</f>
        <v>75058.22439581</v>
      </c>
      <c r="J6" s="33" t="n">
        <f aca="false">'Volume-Price'!J12</f>
        <v>17501.79</v>
      </c>
      <c r="K6" s="33" t="n">
        <f aca="false">'Volume-Price'!K12</f>
        <v>17953.55</v>
      </c>
      <c r="L6" s="33" t="n">
        <f aca="false">'Volume-Price'!L12</f>
        <v>18790.05</v>
      </c>
      <c r="M6" s="33" t="n">
        <f aca="false">'Volume-Price'!M12</f>
        <v>21598.76007836</v>
      </c>
      <c r="N6" s="33" t="n">
        <f aca="false">'Volume-Price'!N12</f>
        <v>18427.05</v>
      </c>
      <c r="O6" s="33" t="n">
        <f aca="false">'Volume-Price'!O12</f>
        <v>18460.74</v>
      </c>
      <c r="P6" s="33" t="n">
        <f aca="false">'Volume-Price'!P12</f>
        <v>18254.82</v>
      </c>
      <c r="Q6" s="33" t="n">
        <f aca="false">'Volume-Price'!Q12</f>
        <v>19915.61439581</v>
      </c>
      <c r="R6" s="33" t="n">
        <f aca="false">'Volume-Price'!R12</f>
        <v>19294.3</v>
      </c>
      <c r="S6" s="33" t="str">
        <f aca="false">'Volume-Price'!S12</f>
        <v/>
      </c>
      <c r="T6" s="33" t="str">
        <f aca="false">'Volume-Price'!T12</f>
        <v/>
      </c>
      <c r="U6" s="33" t="str">
        <f aca="false">'Volume-Price'!U12</f>
        <v/>
      </c>
      <c r="V6" s="33" t="n">
        <f aca="false">'Volume-Price'!V12</f>
        <v>25662.29392771</v>
      </c>
      <c r="W6" s="33" t="str">
        <f aca="false">'Volume-Price'!W12</f>
        <v/>
      </c>
      <c r="X6" s="33" t="str">
        <f aca="false">'Volume-Price'!X12</f>
        <v/>
      </c>
      <c r="Y6" s="33" t="str">
        <f aca="false">'Volume-Price'!Y12</f>
        <v/>
      </c>
      <c r="Z6" s="33" t="str">
        <f aca="false">'Volume-Price'!Z12</f>
        <v/>
      </c>
      <c r="AA6" s="33" t="str">
        <f aca="false">'Volume-Price'!AA12</f>
        <v/>
      </c>
      <c r="AB6" s="33" t="str">
        <f aca="false">'Volume-Price'!AB12</f>
        <v/>
      </c>
    </row>
    <row r="7" customFormat="false" ht="15" hidden="false" customHeight="true" outlineLevel="0" collapsed="false">
      <c r="A7" s="18" t="s">
        <v>106</v>
      </c>
      <c r="B7" s="33" t="n">
        <f aca="false">'Cost Bridge'!B13</f>
        <v>15384.31398307</v>
      </c>
      <c r="C7" s="33" t="n">
        <f aca="false">'Cost Bridge'!C13</f>
        <v>18687.94734062</v>
      </c>
      <c r="D7" s="33" t="n">
        <f aca="false">'Cost Bridge'!D13</f>
        <v>19441.71583218</v>
      </c>
      <c r="E7" s="33" t="n">
        <f aca="false">'Cost Bridge'!E13</f>
        <v>39277.4351554</v>
      </c>
      <c r="F7" s="33" t="n">
        <f aca="false">'Cost Bridge'!F13</f>
        <v>47518.32559915</v>
      </c>
      <c r="G7" s="33" t="n">
        <f aca="false">'Cost Bridge'!G13</f>
        <v>48725.30024066</v>
      </c>
      <c r="H7" s="33" t="n">
        <f aca="false">'Cost Bridge'!H13</f>
        <v>56009.19172771</v>
      </c>
      <c r="I7" s="33" t="n">
        <f aca="false">'Cost Bridge'!I13</f>
        <v>54880.84599801</v>
      </c>
      <c r="J7" s="33" t="str">
        <f aca="false">'Cost Bridge'!J13</f>
        <v/>
      </c>
      <c r="K7" s="33" t="str">
        <f aca="false">'Cost Bridge'!K13</f>
        <v/>
      </c>
      <c r="L7" s="33" t="str">
        <f aca="false">'Cost Bridge'!L13</f>
        <v/>
      </c>
      <c r="M7" s="33" t="str">
        <f aca="false">'Cost Bridge'!M13</f>
        <v/>
      </c>
      <c r="N7" s="33" t="str">
        <f aca="false">'Cost Bridge'!N13</f>
        <v/>
      </c>
      <c r="O7" s="33" t="str">
        <f aca="false">'Cost Bridge'!O13</f>
        <v/>
      </c>
      <c r="P7" s="33" t="str">
        <f aca="false">'Cost Bridge'!P13</f>
        <v/>
      </c>
      <c r="Q7" s="33" t="str">
        <f aca="false">'Cost Bridge'!Q13</f>
        <v/>
      </c>
      <c r="R7" s="33" t="str">
        <f aca="false">'Cost Bridge'!R13</f>
        <v/>
      </c>
      <c r="S7" s="33" t="str">
        <f aca="false">'Cost Bridge'!S13</f>
        <v/>
      </c>
      <c r="T7" s="33" t="str">
        <f aca="false">'Cost Bridge'!T13</f>
        <v/>
      </c>
      <c r="U7" s="33" t="str">
        <f aca="false">'Cost Bridge'!U13</f>
        <v/>
      </c>
      <c r="V7" s="33" t="str">
        <f aca="false">'Cost Bridge'!V13</f>
        <v/>
      </c>
      <c r="W7" s="33" t="str">
        <f aca="false">'Cost Bridge'!W13</f>
        <v/>
      </c>
      <c r="X7" s="33" t="str">
        <f aca="false">'Cost Bridge'!X13</f>
        <v/>
      </c>
      <c r="Y7" s="33" t="str">
        <f aca="false">'Cost Bridge'!Y13</f>
        <v/>
      </c>
      <c r="Z7" s="33" t="str">
        <f aca="false">'Cost Bridge'!Z13</f>
        <v/>
      </c>
      <c r="AA7" s="33" t="str">
        <f aca="false">'Cost Bridge'!AA13</f>
        <v/>
      </c>
      <c r="AB7" s="33" t="str">
        <f aca="false">'Cost Bridge'!AB13</f>
        <v/>
      </c>
    </row>
    <row r="8" customFormat="false" ht="15" hidden="false" customHeight="true" outlineLevel="0" collapsed="false">
      <c r="A8" s="18" t="s">
        <v>107</v>
      </c>
      <c r="B8" s="30" t="n">
        <f aca="false">IF(OR(B6="",B7=""),"",B6-B7)</f>
        <v>15567.5779285</v>
      </c>
      <c r="C8" s="30" t="n">
        <f aca="false">IF(OR(C6="",C7=""),"",C6-C7)</f>
        <v>13170.18485634</v>
      </c>
      <c r="D8" s="30" t="n">
        <f aca="false">IF(OR(D6="",D7=""),"",D6-D7)</f>
        <v>14975.15017579</v>
      </c>
      <c r="E8" s="30" t="n">
        <f aca="false">IF(OR(E6="",E7=""),"",E6-E7)</f>
        <v>21214.789622</v>
      </c>
      <c r="F8" s="30" t="n">
        <f aca="false">IF(OR(F6="",F7=""),"",F6-F7)</f>
        <v>15377.30238798</v>
      </c>
      <c r="G8" s="30" t="n">
        <f aca="false">IF(OR(G6="",G7=""),"",G6-G7)</f>
        <v>18660.86003546</v>
      </c>
      <c r="H8" s="30" t="n">
        <f aca="false">IF(OR(H6="",H7=""),"",H6-H7)</f>
        <v>19834.95835065</v>
      </c>
      <c r="I8" s="30" t="n">
        <f aca="false">IF(OR(I6="",I7=""),"",I6-I7)</f>
        <v>20177.3783978</v>
      </c>
      <c r="J8" s="30" t="str">
        <f aca="false">IF(OR(J6="",J7=""),"",J6-J7)</f>
        <v/>
      </c>
      <c r="K8" s="30" t="str">
        <f aca="false">IF(OR(K6="",K7=""),"",K6-K7)</f>
        <v/>
      </c>
      <c r="L8" s="30" t="str">
        <f aca="false">IF(OR(L6="",L7=""),"",L6-L7)</f>
        <v/>
      </c>
      <c r="M8" s="30" t="str">
        <f aca="false">IF(OR(M6="",M7=""),"",M6-M7)</f>
        <v/>
      </c>
      <c r="N8" s="30" t="str">
        <f aca="false">IF(OR(N6="",N7=""),"",N6-N7)</f>
        <v/>
      </c>
      <c r="O8" s="30" t="str">
        <f aca="false">IF(OR(O6="",O7=""),"",O6-O7)</f>
        <v/>
      </c>
      <c r="P8" s="30" t="str">
        <f aca="false">IF(OR(P6="",P7=""),"",P6-P7)</f>
        <v/>
      </c>
      <c r="Q8" s="30" t="str">
        <f aca="false">IF(OR(Q6="",Q7=""),"",Q6-Q7)</f>
        <v/>
      </c>
      <c r="R8" s="30" t="str">
        <f aca="false">IF(OR(R6="",R7=""),"",R6-R7)</f>
        <v/>
      </c>
      <c r="S8" s="30" t="str">
        <f aca="false">IF(OR(S6="",S7=""),"",S6-S7)</f>
        <v/>
      </c>
      <c r="T8" s="30" t="str">
        <f aca="false">IF(OR(T6="",T7=""),"",T6-T7)</f>
        <v/>
      </c>
      <c r="U8" s="30" t="str">
        <f aca="false">IF(OR(U6="",U7=""),"",U6-U7)</f>
        <v/>
      </c>
      <c r="V8" s="30" t="str">
        <f aca="false">IF(OR(V6="",V7=""),"",V6-V7)</f>
        <v/>
      </c>
      <c r="W8" s="30" t="str">
        <f aca="false">IF(OR(W6="",W7=""),"",W6-W7)</f>
        <v/>
      </c>
      <c r="X8" s="30" t="str">
        <f aca="false">IF(OR(X6="",X7=""),"",X6-X7)</f>
        <v/>
      </c>
      <c r="Y8" s="30" t="str">
        <f aca="false">IF(OR(Y6="",Y7=""),"",Y6-Y7)</f>
        <v/>
      </c>
      <c r="Z8" s="30" t="str">
        <f aca="false">IF(OR(Z6="",Z7=""),"",Z6-Z7)</f>
        <v/>
      </c>
      <c r="AA8" s="30" t="str">
        <f aca="false">IF(OR(AA6="",AA7=""),"",AA6-AA7)</f>
        <v/>
      </c>
      <c r="AB8" s="30" t="str">
        <f aca="false">IF(OR(AB6="",AB7=""),"",AB6-AB7)</f>
        <v/>
      </c>
    </row>
    <row r="9" customFormat="false" ht="15" hidden="false" customHeight="true" outlineLevel="0" collapsed="false">
      <c r="A9" s="18" t="s">
        <v>108</v>
      </c>
      <c r="B9" s="31" t="n">
        <f aca="false">IFERROR(IF(OR(B6="",B6=0,B8=""),"",B8/B6),"")</f>
        <v>0.502960464354709</v>
      </c>
      <c r="C9" s="31" t="n">
        <f aca="false">IFERROR(IF(OR(C6="",C6=0,C8=""),"",C8/C6),"")</f>
        <v>0.41340103603427</v>
      </c>
      <c r="D9" s="31" t="n">
        <f aca="false">IFERROR(IF(OR(D6="",D6=0,D8=""),"",D8/D6),"")</f>
        <v>0.435110802137596</v>
      </c>
      <c r="E9" s="31" t="n">
        <f aca="false">IFERROR(IF(OR(E6="",E6=0,E8=""),"",E8/E6),"")</f>
        <v>0.350702750643846</v>
      </c>
      <c r="F9" s="31" t="n">
        <f aca="false">IFERROR(IF(OR(F6="",F6=0,F8=""),"",F8/F6),"")</f>
        <v>0.244489209824355</v>
      </c>
      <c r="G9" s="31" t="n">
        <f aca="false">IFERROR(IF(OR(G6="",G6=0,G8=""),"",G8/G6),"")</f>
        <v>0.27692422240703</v>
      </c>
      <c r="H9" s="31" t="n">
        <f aca="false">IFERROR(IF(OR(H6="",H6=0,H8=""),"",H8/H6),"")</f>
        <v>0.261522587175901</v>
      </c>
      <c r="I9" s="31" t="n">
        <f aca="false">IFERROR(IF(OR(I6="",I6=0,I8=""),"",I8/I6),"")</f>
        <v>0.268823017866732</v>
      </c>
      <c r="J9" s="31" t="str">
        <f aca="false">IFERROR(IF(OR(J6="",J6=0,J8=""),"",J8/J6),"")</f>
        <v/>
      </c>
      <c r="K9" s="31" t="str">
        <f aca="false">IFERROR(IF(OR(K6="",K6=0,K8=""),"",K8/K6),"")</f>
        <v/>
      </c>
      <c r="L9" s="31" t="str">
        <f aca="false">IFERROR(IF(OR(L6="",L6=0,L8=""),"",L8/L6),"")</f>
        <v/>
      </c>
      <c r="M9" s="31" t="str">
        <f aca="false">IFERROR(IF(OR(M6="",M6=0,M8=""),"",M8/M6),"")</f>
        <v/>
      </c>
      <c r="N9" s="31" t="str">
        <f aca="false">IFERROR(IF(OR(N6="",N6=0,N8=""),"",N8/N6),"")</f>
        <v/>
      </c>
      <c r="O9" s="31" t="str">
        <f aca="false">IFERROR(IF(OR(O6="",O6=0,O8=""),"",O8/O6),"")</f>
        <v/>
      </c>
      <c r="P9" s="31" t="str">
        <f aca="false">IFERROR(IF(OR(P6="",P6=0,P8=""),"",P8/P6),"")</f>
        <v/>
      </c>
      <c r="Q9" s="31" t="str">
        <f aca="false">IFERROR(IF(OR(Q6="",Q6=0,Q8=""),"",Q8/Q6),"")</f>
        <v/>
      </c>
      <c r="R9" s="31" t="str">
        <f aca="false">IFERROR(IF(OR(R6="",R6=0,R8=""),"",R8/R6),"")</f>
        <v/>
      </c>
      <c r="S9" s="31" t="str">
        <f aca="false">IFERROR(IF(OR(S6="",S6=0,S8=""),"",S8/S6),"")</f>
        <v/>
      </c>
      <c r="T9" s="31" t="str">
        <f aca="false">IFERROR(IF(OR(T6="",T6=0,T8=""),"",T8/T6),"")</f>
        <v/>
      </c>
      <c r="U9" s="31" t="str">
        <f aca="false">IFERROR(IF(OR(U6="",U6=0,U8=""),"",U8/U6),"")</f>
        <v/>
      </c>
      <c r="V9" s="31" t="str">
        <f aca="false">IFERROR(IF(OR(V6="",V6=0,V8=""),"",V8/V6),"")</f>
        <v/>
      </c>
      <c r="W9" s="31" t="str">
        <f aca="false">IFERROR(IF(OR(W6="",W6=0,W8=""),"",W8/W6),"")</f>
        <v/>
      </c>
      <c r="X9" s="31" t="str">
        <f aca="false">IFERROR(IF(OR(X6="",X6=0,X8=""),"",X8/X6),"")</f>
        <v/>
      </c>
      <c r="Y9" s="31" t="str">
        <f aca="false">IFERROR(IF(OR(Y6="",Y6=0,Y8=""),"",Y8/Y6),"")</f>
        <v/>
      </c>
      <c r="Z9" s="31" t="str">
        <f aca="false">IFERROR(IF(OR(Z6="",Z6=0,Z8=""),"",Z8/Z6),"")</f>
        <v/>
      </c>
      <c r="AA9" s="31" t="str">
        <f aca="false">IFERROR(IF(OR(AA6="",AA6=0,AA8=""),"",AA8/AA6),"")</f>
        <v/>
      </c>
      <c r="AB9" s="31" t="str">
        <f aca="false">IFERROR(IF(OR(AB6="",AB6=0,AB8=""),"",AB8/AB6),"")</f>
        <v/>
      </c>
    </row>
    <row r="10" customFormat="false" ht="15" hidden="false" customHeight="true" outlineLevel="0" collapsed="false">
      <c r="A10" s="21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customFormat="false" ht="15" hidden="false" customHeight="true" outlineLevel="0" collapsed="false">
      <c r="A11" s="17" t="s">
        <v>69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customFormat="false" ht="15" hidden="false" customHeight="true" outlineLevel="0" collapsed="false">
      <c r="A12" s="18" t="s">
        <v>105</v>
      </c>
      <c r="B12" s="33" t="n">
        <f aca="false">'Volume-Price'!B22</f>
        <v>18907.54575605</v>
      </c>
      <c r="C12" s="33" t="n">
        <f aca="false">'Volume-Price'!C22</f>
        <v>20102.03569232</v>
      </c>
      <c r="D12" s="33" t="n">
        <f aca="false">'Volume-Price'!D22</f>
        <v>23084.98688268</v>
      </c>
      <c r="E12" s="33" t="n">
        <f aca="false">'Volume-Price'!E22</f>
        <v>61409.36514356</v>
      </c>
      <c r="F12" s="33" t="n">
        <f aca="false">'Volume-Price'!F22</f>
        <v>69635.163722</v>
      </c>
      <c r="G12" s="33" t="n">
        <f aca="false">'Volume-Price'!G22</f>
        <v>69327.92411413</v>
      </c>
      <c r="H12" s="33" t="n">
        <f aca="false">'Volume-Price'!H22</f>
        <v>72518.2719261</v>
      </c>
      <c r="I12" s="33" t="n">
        <f aca="false">'Volume-Price'!I22</f>
        <v>84203.8104991</v>
      </c>
      <c r="J12" s="33" t="n">
        <f aca="false">'Volume-Price'!J22</f>
        <v>18513.68</v>
      </c>
      <c r="K12" s="33" t="n">
        <f aca="false">'Volume-Price'!K22</f>
        <v>21061.08</v>
      </c>
      <c r="L12" s="33" t="n">
        <f aca="false">'Volume-Price'!L22</f>
        <v>22403.04</v>
      </c>
      <c r="M12" s="33" t="n">
        <f aca="false">'Volume-Price'!M22</f>
        <v>10540.4719261</v>
      </c>
      <c r="N12" s="33" t="n">
        <f aca="false">'Volume-Price'!N22</f>
        <v>16320.12</v>
      </c>
      <c r="O12" s="33" t="n">
        <f aca="false">'Volume-Price'!O22</f>
        <v>18613.44</v>
      </c>
      <c r="P12" s="33" t="n">
        <f aca="false">'Volume-Price'!P22</f>
        <v>24385.72</v>
      </c>
      <c r="Q12" s="33" t="n">
        <f aca="false">'Volume-Price'!Q22</f>
        <v>24884.5304991</v>
      </c>
      <c r="R12" s="33" t="n">
        <f aca="false">'Volume-Price'!R22</f>
        <v>20505.86</v>
      </c>
      <c r="S12" s="33" t="str">
        <f aca="false">'Volume-Price'!S22</f>
        <v/>
      </c>
      <c r="T12" s="33" t="str">
        <f aca="false">'Volume-Price'!T22</f>
        <v/>
      </c>
      <c r="U12" s="33" t="str">
        <f aca="false">'Volume-Price'!U22</f>
        <v/>
      </c>
      <c r="V12" s="33" t="n">
        <f aca="false">'Volume-Price'!V22</f>
        <v>27231.70464246</v>
      </c>
      <c r="W12" s="33" t="str">
        <f aca="false">'Volume-Price'!W22</f>
        <v/>
      </c>
      <c r="X12" s="33" t="str">
        <f aca="false">'Volume-Price'!X22</f>
        <v/>
      </c>
      <c r="Y12" s="33" t="str">
        <f aca="false">'Volume-Price'!Y22</f>
        <v/>
      </c>
      <c r="Z12" s="33" t="str">
        <f aca="false">'Volume-Price'!Z22</f>
        <v/>
      </c>
      <c r="AA12" s="33" t="str">
        <f aca="false">'Volume-Price'!AA22</f>
        <v/>
      </c>
      <c r="AB12" s="33" t="str">
        <f aca="false">'Volume-Price'!AB22</f>
        <v/>
      </c>
    </row>
    <row r="13" customFormat="false" ht="15" hidden="false" customHeight="true" outlineLevel="0" collapsed="false">
      <c r="A13" s="18" t="s">
        <v>106</v>
      </c>
      <c r="B13" s="33" t="n">
        <f aca="false">'Cost Bridge'!B24</f>
        <v>17021.13325352</v>
      </c>
      <c r="C13" s="33" t="n">
        <f aca="false">'Cost Bridge'!C24</f>
        <v>17859.81353777</v>
      </c>
      <c r="D13" s="33" t="n">
        <f aca="false">'Cost Bridge'!D24</f>
        <v>22102.63864773</v>
      </c>
      <c r="E13" s="33" t="n">
        <f aca="false">'Cost Bridge'!E24</f>
        <v>50916.47825843</v>
      </c>
      <c r="F13" s="33" t="n">
        <f aca="false">'Cost Bridge'!F24</f>
        <v>67032.07590358</v>
      </c>
      <c r="G13" s="33" t="n">
        <f aca="false">'Cost Bridge'!G24</f>
        <v>66891.14017935</v>
      </c>
      <c r="H13" s="33" t="n">
        <f aca="false">'Cost Bridge'!H24</f>
        <v>69965.50029623</v>
      </c>
      <c r="I13" s="33" t="n">
        <f aca="false">'Cost Bridge'!I24</f>
        <v>83718.34153072</v>
      </c>
      <c r="J13" s="33" t="str">
        <f aca="false">'Cost Bridge'!J24</f>
        <v/>
      </c>
      <c r="K13" s="33" t="str">
        <f aca="false">'Cost Bridge'!K24</f>
        <v/>
      </c>
      <c r="L13" s="33" t="str">
        <f aca="false">'Cost Bridge'!L24</f>
        <v/>
      </c>
      <c r="M13" s="33" t="str">
        <f aca="false">'Cost Bridge'!M24</f>
        <v/>
      </c>
      <c r="N13" s="33" t="str">
        <f aca="false">'Cost Bridge'!N24</f>
        <v/>
      </c>
      <c r="O13" s="33" t="str">
        <f aca="false">'Cost Bridge'!O24</f>
        <v/>
      </c>
      <c r="P13" s="33" t="str">
        <f aca="false">'Cost Bridge'!P24</f>
        <v/>
      </c>
      <c r="Q13" s="33" t="str">
        <f aca="false">'Cost Bridge'!Q24</f>
        <v/>
      </c>
      <c r="R13" s="33" t="str">
        <f aca="false">'Cost Bridge'!R24</f>
        <v/>
      </c>
      <c r="S13" s="33" t="str">
        <f aca="false">'Cost Bridge'!S24</f>
        <v/>
      </c>
      <c r="T13" s="33" t="str">
        <f aca="false">'Cost Bridge'!T24</f>
        <v/>
      </c>
      <c r="U13" s="33" t="str">
        <f aca="false">'Cost Bridge'!U24</f>
        <v/>
      </c>
      <c r="V13" s="33" t="str">
        <f aca="false">'Cost Bridge'!V24</f>
        <v/>
      </c>
      <c r="W13" s="33" t="str">
        <f aca="false">'Cost Bridge'!W24</f>
        <v/>
      </c>
      <c r="X13" s="33" t="str">
        <f aca="false">'Cost Bridge'!X24</f>
        <v/>
      </c>
      <c r="Y13" s="33" t="str">
        <f aca="false">'Cost Bridge'!Y24</f>
        <v/>
      </c>
      <c r="Z13" s="33" t="str">
        <f aca="false">'Cost Bridge'!Z24</f>
        <v/>
      </c>
      <c r="AA13" s="33" t="str">
        <f aca="false">'Cost Bridge'!AA24</f>
        <v/>
      </c>
      <c r="AB13" s="33" t="str">
        <f aca="false">'Cost Bridge'!AB24</f>
        <v/>
      </c>
    </row>
    <row r="14" customFormat="false" ht="15" hidden="false" customHeight="true" outlineLevel="0" collapsed="false">
      <c r="A14" s="18" t="s">
        <v>107</v>
      </c>
      <c r="B14" s="30" t="n">
        <f aca="false">IF(OR(B12="",B13=""),"",B12-B13)</f>
        <v>1886.41250253</v>
      </c>
      <c r="C14" s="30" t="n">
        <f aca="false">IF(OR(C12="",C13=""),"",C12-C13)</f>
        <v>2242.22215455</v>
      </c>
      <c r="D14" s="30" t="n">
        <f aca="false">IF(OR(D12="",D13=""),"",D12-D13)</f>
        <v>982.348234950001</v>
      </c>
      <c r="E14" s="30" t="n">
        <f aca="false">IF(OR(E12="",E13=""),"",E12-E13)</f>
        <v>10492.88688513</v>
      </c>
      <c r="F14" s="30" t="n">
        <f aca="false">IF(OR(F12="",F13=""),"",F12-F13)</f>
        <v>2603.08781842</v>
      </c>
      <c r="G14" s="30" t="n">
        <f aca="false">IF(OR(G12="",G13=""),"",G12-G13)</f>
        <v>2436.78393478</v>
      </c>
      <c r="H14" s="30" t="n">
        <f aca="false">IF(OR(H12="",H13=""),"",H12-H13)</f>
        <v>2552.77162987</v>
      </c>
      <c r="I14" s="30" t="n">
        <f aca="false">IF(OR(I12="",I13=""),"",I12-I13)</f>
        <v>485.468968379995</v>
      </c>
      <c r="J14" s="30" t="str">
        <f aca="false">IF(OR(J12="",J13=""),"",J12-J13)</f>
        <v/>
      </c>
      <c r="K14" s="30" t="str">
        <f aca="false">IF(OR(K12="",K13=""),"",K12-K13)</f>
        <v/>
      </c>
      <c r="L14" s="30" t="str">
        <f aca="false">IF(OR(L12="",L13=""),"",L12-L13)</f>
        <v/>
      </c>
      <c r="M14" s="30" t="str">
        <f aca="false">IF(OR(M12="",M13=""),"",M12-M13)</f>
        <v/>
      </c>
      <c r="N14" s="30" t="str">
        <f aca="false">IF(OR(N12="",N13=""),"",N12-N13)</f>
        <v/>
      </c>
      <c r="O14" s="30" t="str">
        <f aca="false">IF(OR(O12="",O13=""),"",O12-O13)</f>
        <v/>
      </c>
      <c r="P14" s="30" t="str">
        <f aca="false">IF(OR(P12="",P13=""),"",P12-P13)</f>
        <v/>
      </c>
      <c r="Q14" s="30" t="str">
        <f aca="false">IF(OR(Q12="",Q13=""),"",Q12-Q13)</f>
        <v/>
      </c>
      <c r="R14" s="30" t="str">
        <f aca="false">IF(OR(R12="",R13=""),"",R12-R13)</f>
        <v/>
      </c>
      <c r="S14" s="30" t="str">
        <f aca="false">IF(OR(S12="",S13=""),"",S12-S13)</f>
        <v/>
      </c>
      <c r="T14" s="30" t="str">
        <f aca="false">IF(OR(T12="",T13=""),"",T12-T13)</f>
        <v/>
      </c>
      <c r="U14" s="30" t="str">
        <f aca="false">IF(OR(U12="",U13=""),"",U12-U13)</f>
        <v/>
      </c>
      <c r="V14" s="30" t="str">
        <f aca="false">IF(OR(V12="",V13=""),"",V12-V13)</f>
        <v/>
      </c>
      <c r="W14" s="30" t="str">
        <f aca="false">IF(OR(W12="",W13=""),"",W12-W13)</f>
        <v/>
      </c>
      <c r="X14" s="30" t="str">
        <f aca="false">IF(OR(X12="",X13=""),"",X12-X13)</f>
        <v/>
      </c>
      <c r="Y14" s="30" t="str">
        <f aca="false">IF(OR(Y12="",Y13=""),"",Y12-Y13)</f>
        <v/>
      </c>
      <c r="Z14" s="30" t="str">
        <f aca="false">IF(OR(Z12="",Z13=""),"",Z12-Z13)</f>
        <v/>
      </c>
      <c r="AA14" s="30" t="str">
        <f aca="false">IF(OR(AA12="",AA13=""),"",AA12-AA13)</f>
        <v/>
      </c>
      <c r="AB14" s="30" t="str">
        <f aca="false">IF(OR(AB12="",AB13=""),"",AB12-AB13)</f>
        <v/>
      </c>
    </row>
    <row r="15" customFormat="false" ht="15" hidden="false" customHeight="true" outlineLevel="0" collapsed="false">
      <c r="A15" s="18" t="s">
        <v>108</v>
      </c>
      <c r="B15" s="31" t="n">
        <f aca="false">IFERROR(IF(OR(B12="",B12=0,B14=""),"",B14/B12),"")</f>
        <v>0.0997703523698409</v>
      </c>
      <c r="C15" s="31" t="n">
        <f aca="false">IFERROR(IF(OR(C12="",C12=0,C14=""),"",C14/C12),"")</f>
        <v>0.111542044242148</v>
      </c>
      <c r="D15" s="31" t="n">
        <f aca="false">IFERROR(IF(OR(D12="",D12=0,D14=""),"",D14/D12),"")</f>
        <v>0.0425535539587865</v>
      </c>
      <c r="E15" s="31" t="n">
        <f aca="false">IFERROR(IF(OR(E12="",E12=0,E14=""),"",E14/E12),"")</f>
        <v>0.170867861287936</v>
      </c>
      <c r="F15" s="31" t="n">
        <f aca="false">IFERROR(IF(OR(F12="",F12=0,F14=""),"",F14/F12),"")</f>
        <v>0.037381800792659</v>
      </c>
      <c r="G15" s="31" t="n">
        <f aca="false">IFERROR(IF(OR(G12="",G12=0,G14=""),"",G14/G12),"")</f>
        <v>0.0351486643501468</v>
      </c>
      <c r="H15" s="31" t="n">
        <f aca="false">IFERROR(IF(OR(H12="",H12=0,H14=""),"",H14/H12),"")</f>
        <v>0.0352017713890288</v>
      </c>
      <c r="I15" s="31" t="n">
        <f aca="false">IFERROR(IF(OR(I12="",I12=0,I14=""),"",I14/I12),"")</f>
        <v>0.00576540379232819</v>
      </c>
      <c r="J15" s="31" t="str">
        <f aca="false">IFERROR(IF(OR(J12="",J12=0,J14=""),"",J14/J12),"")</f>
        <v/>
      </c>
      <c r="K15" s="31" t="str">
        <f aca="false">IFERROR(IF(OR(K12="",K12=0,K14=""),"",K14/K12),"")</f>
        <v/>
      </c>
      <c r="L15" s="31" t="str">
        <f aca="false">IFERROR(IF(OR(L12="",L12=0,L14=""),"",L14/L12),"")</f>
        <v/>
      </c>
      <c r="M15" s="31" t="str">
        <f aca="false">IFERROR(IF(OR(M12="",M12=0,M14=""),"",M14/M12),"")</f>
        <v/>
      </c>
      <c r="N15" s="31" t="str">
        <f aca="false">IFERROR(IF(OR(N12="",N12=0,N14=""),"",N14/N12),"")</f>
        <v/>
      </c>
      <c r="O15" s="31" t="str">
        <f aca="false">IFERROR(IF(OR(O12="",O12=0,O14=""),"",O14/O12),"")</f>
        <v/>
      </c>
      <c r="P15" s="31" t="str">
        <f aca="false">IFERROR(IF(OR(P12="",P12=0,P14=""),"",P14/P12),"")</f>
        <v/>
      </c>
      <c r="Q15" s="31" t="str">
        <f aca="false">IFERROR(IF(OR(Q12="",Q12=0,Q14=""),"",Q14/Q12),"")</f>
        <v/>
      </c>
      <c r="R15" s="31" t="str">
        <f aca="false">IFERROR(IF(OR(R12="",R12=0,R14=""),"",R14/R12),"")</f>
        <v/>
      </c>
      <c r="S15" s="31" t="str">
        <f aca="false">IFERROR(IF(OR(S12="",S12=0,S14=""),"",S14/S12),"")</f>
        <v/>
      </c>
      <c r="T15" s="31" t="str">
        <f aca="false">IFERROR(IF(OR(T12="",T12=0,T14=""),"",T14/T12),"")</f>
        <v/>
      </c>
      <c r="U15" s="31" t="str">
        <f aca="false">IFERROR(IF(OR(U12="",U12=0,U14=""),"",U14/U12),"")</f>
        <v/>
      </c>
      <c r="V15" s="31" t="str">
        <f aca="false">IFERROR(IF(OR(V12="",V12=0,V14=""),"",V14/V12),"")</f>
        <v/>
      </c>
      <c r="W15" s="31" t="str">
        <f aca="false">IFERROR(IF(OR(W12="",W12=0,W14=""),"",W14/W12),"")</f>
        <v/>
      </c>
      <c r="X15" s="31" t="str">
        <f aca="false">IFERROR(IF(OR(X12="",X12=0,X14=""),"",X14/X12),"")</f>
        <v/>
      </c>
      <c r="Y15" s="31" t="str">
        <f aca="false">IFERROR(IF(OR(Y12="",Y12=0,Y14=""),"",Y14/Y12),"")</f>
        <v/>
      </c>
      <c r="Z15" s="31" t="str">
        <f aca="false">IFERROR(IF(OR(Z12="",Z12=0,Z14=""),"",Z14/Z12),"")</f>
        <v/>
      </c>
      <c r="AA15" s="31" t="str">
        <f aca="false">IFERROR(IF(OR(AA12="",AA12=0,AA14=""),"",AA14/AA12),"")</f>
        <v/>
      </c>
      <c r="AB15" s="31" t="str">
        <f aca="false">IFERROR(IF(OR(AB12="",AB12=0,AB14=""),"",AB14/AB12),"")</f>
        <v/>
      </c>
    </row>
    <row r="16" customFormat="false" ht="15" hidden="false" customHeight="true" outlineLevel="0" collapsed="false">
      <c r="A16" s="2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customFormat="false" ht="15" hidden="false" customHeight="true" outlineLevel="0" collapsed="false">
      <c r="A17" s="17" t="s">
        <v>70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customFormat="false" ht="15" hidden="false" customHeight="true" outlineLevel="0" collapsed="false">
      <c r="A18" s="18" t="s">
        <v>105</v>
      </c>
      <c r="B18" s="33" t="n">
        <f aca="false">'Volume-Price'!B32</f>
        <v>5702.96237442</v>
      </c>
      <c r="C18" s="33" t="n">
        <f aca="false">'Volume-Price'!C32</f>
        <v>7087.78102556</v>
      </c>
      <c r="D18" s="33" t="n">
        <f aca="false">'Volume-Price'!D32</f>
        <v>7947.85768248</v>
      </c>
      <c r="E18" s="33" t="n">
        <f aca="false">'Volume-Price'!E32</f>
        <v>15463.78837532</v>
      </c>
      <c r="F18" s="33" t="n">
        <f aca="false">'Volume-Price'!F32</f>
        <v>20124.15835568</v>
      </c>
      <c r="G18" s="33" t="n">
        <f aca="false">'Volume-Price'!G32</f>
        <v>23836.06249747</v>
      </c>
      <c r="H18" s="33" t="n">
        <f aca="false">'Volume-Price'!H32</f>
        <v>28273.08050047</v>
      </c>
      <c r="I18" s="33" t="n">
        <f aca="false">'Volume-Price'!I32</f>
        <v>33189.1296427</v>
      </c>
      <c r="J18" s="33" t="n">
        <f aca="false">'Volume-Price'!J32</f>
        <v>6105.04</v>
      </c>
      <c r="K18" s="33" t="n">
        <f aca="false">'Volume-Price'!K32</f>
        <v>6873.64</v>
      </c>
      <c r="L18" s="33" t="n">
        <f aca="false">'Volume-Price'!L32</f>
        <v>7020.42</v>
      </c>
      <c r="M18" s="33" t="n">
        <f aca="false">'Volume-Price'!M32</f>
        <v>8273.98050047</v>
      </c>
      <c r="N18" s="33" t="n">
        <f aca="false">'Volume-Price'!N32</f>
        <v>7370.45</v>
      </c>
      <c r="O18" s="33" t="n">
        <f aca="false">'Volume-Price'!O32</f>
        <v>8257.62</v>
      </c>
      <c r="P18" s="33" t="n">
        <f aca="false">'Volume-Price'!P32</f>
        <v>8183.38</v>
      </c>
      <c r="Q18" s="33" t="n">
        <f aca="false">'Volume-Price'!Q32</f>
        <v>9377.6796427</v>
      </c>
      <c r="R18" s="33" t="n">
        <f aca="false">'Volume-Price'!R32</f>
        <v>10344.79</v>
      </c>
      <c r="S18" s="33" t="str">
        <f aca="false">'Volume-Price'!S32</f>
        <v/>
      </c>
      <c r="T18" s="33" t="str">
        <f aca="false">'Volume-Price'!T32</f>
        <v/>
      </c>
      <c r="U18" s="33" t="str">
        <f aca="false">'Volume-Price'!U32</f>
        <v/>
      </c>
      <c r="V18" s="33" t="n">
        <f aca="false">'Volume-Price'!V32</f>
        <v>12202.90927628</v>
      </c>
      <c r="W18" s="33" t="str">
        <f aca="false">'Volume-Price'!W32</f>
        <v/>
      </c>
      <c r="X18" s="33" t="str">
        <f aca="false">'Volume-Price'!X32</f>
        <v/>
      </c>
      <c r="Y18" s="33" t="str">
        <f aca="false">'Volume-Price'!Y32</f>
        <v/>
      </c>
      <c r="Z18" s="33" t="str">
        <f aca="false">'Volume-Price'!Z32</f>
        <v/>
      </c>
      <c r="AA18" s="33" t="str">
        <f aca="false">'Volume-Price'!AA32</f>
        <v/>
      </c>
      <c r="AB18" s="33" t="str">
        <f aca="false">'Volume-Price'!AB32</f>
        <v/>
      </c>
    </row>
    <row r="19" customFormat="false" ht="15" hidden="false" customHeight="true" outlineLevel="0" collapsed="false">
      <c r="A19" s="18" t="s">
        <v>106</v>
      </c>
      <c r="B19" s="33" t="n">
        <f aca="false">'Cost Bridge'!B35</f>
        <v>3916.33684331</v>
      </c>
      <c r="C19" s="33" t="n">
        <f aca="false">'Cost Bridge'!C35</f>
        <v>5271.26302054</v>
      </c>
      <c r="D19" s="33" t="n">
        <f aca="false">'Cost Bridge'!D35</f>
        <v>5927.57634281</v>
      </c>
      <c r="E19" s="33" t="n">
        <f aca="false">'Cost Bridge'!E35</f>
        <v>12177.19907928</v>
      </c>
      <c r="F19" s="33" t="n">
        <f aca="false">'Cost Bridge'!F35</f>
        <v>20124.15835568</v>
      </c>
      <c r="G19" s="33" t="n">
        <f aca="false">'Cost Bridge'!G35</f>
        <v>18731.47520707</v>
      </c>
      <c r="H19" s="33" t="n">
        <f aca="false">'Cost Bridge'!H35</f>
        <v>24661.11634541</v>
      </c>
      <c r="I19" s="33" t="n">
        <f aca="false">'Cost Bridge'!I35</f>
        <v>29695.75775866</v>
      </c>
      <c r="J19" s="33" t="str">
        <f aca="false">'Cost Bridge'!J35</f>
        <v/>
      </c>
      <c r="K19" s="33" t="str">
        <f aca="false">'Cost Bridge'!K35</f>
        <v/>
      </c>
      <c r="L19" s="33" t="str">
        <f aca="false">'Cost Bridge'!L35</f>
        <v/>
      </c>
      <c r="M19" s="33" t="str">
        <f aca="false">'Cost Bridge'!M35</f>
        <v/>
      </c>
      <c r="N19" s="33" t="str">
        <f aca="false">'Cost Bridge'!N35</f>
        <v/>
      </c>
      <c r="O19" s="33" t="str">
        <f aca="false">'Cost Bridge'!O35</f>
        <v/>
      </c>
      <c r="P19" s="33" t="str">
        <f aca="false">'Cost Bridge'!P35</f>
        <v/>
      </c>
      <c r="Q19" s="33" t="str">
        <f aca="false">'Cost Bridge'!Q35</f>
        <v/>
      </c>
      <c r="R19" s="33" t="str">
        <f aca="false">'Cost Bridge'!R35</f>
        <v/>
      </c>
      <c r="S19" s="33" t="str">
        <f aca="false">'Cost Bridge'!S35</f>
        <v/>
      </c>
      <c r="T19" s="33" t="str">
        <f aca="false">'Cost Bridge'!T35</f>
        <v/>
      </c>
      <c r="U19" s="33" t="str">
        <f aca="false">'Cost Bridge'!U35</f>
        <v/>
      </c>
      <c r="V19" s="33" t="str">
        <f aca="false">'Cost Bridge'!V35</f>
        <v/>
      </c>
      <c r="W19" s="33" t="str">
        <f aca="false">'Cost Bridge'!W35</f>
        <v/>
      </c>
      <c r="X19" s="33" t="str">
        <f aca="false">'Cost Bridge'!X35</f>
        <v/>
      </c>
      <c r="Y19" s="33" t="str">
        <f aca="false">'Cost Bridge'!Y35</f>
        <v/>
      </c>
      <c r="Z19" s="33" t="str">
        <f aca="false">'Cost Bridge'!Z35</f>
        <v/>
      </c>
      <c r="AA19" s="33" t="str">
        <f aca="false">'Cost Bridge'!AA35</f>
        <v/>
      </c>
      <c r="AB19" s="33" t="str">
        <f aca="false">'Cost Bridge'!AB35</f>
        <v/>
      </c>
    </row>
    <row r="20" customFormat="false" ht="15" hidden="false" customHeight="true" outlineLevel="0" collapsed="false">
      <c r="A20" s="18" t="s">
        <v>107</v>
      </c>
      <c r="B20" s="30" t="n">
        <f aca="false">IF(OR(B18="",B19=""),"",B18-B19)</f>
        <v>1786.62553111</v>
      </c>
      <c r="C20" s="30" t="n">
        <f aca="false">IF(OR(C18="",C19=""),"",C18-C19)</f>
        <v>1816.51800502</v>
      </c>
      <c r="D20" s="30" t="n">
        <f aca="false">IF(OR(D18="",D19=""),"",D18-D19)</f>
        <v>2020.28133967</v>
      </c>
      <c r="E20" s="30" t="n">
        <f aca="false">IF(OR(E18="",E19=""),"",E18-E19)</f>
        <v>3286.58929604</v>
      </c>
      <c r="F20" s="30" t="n">
        <f aca="false">IF(OR(F18="",F19=""),"",F18-F19)</f>
        <v>0</v>
      </c>
      <c r="G20" s="30" t="n">
        <f aca="false">IF(OR(G18="",G19=""),"",G18-G19)</f>
        <v>5104.5872904</v>
      </c>
      <c r="H20" s="30" t="n">
        <f aca="false">IF(OR(H18="",H19=""),"",H18-H19)</f>
        <v>3611.96415506</v>
      </c>
      <c r="I20" s="30" t="n">
        <f aca="false">IF(OR(I18="",I19=""),"",I18-I19)</f>
        <v>3493.37188404</v>
      </c>
      <c r="J20" s="30" t="str">
        <f aca="false">IF(OR(J18="",J19=""),"",J18-J19)</f>
        <v/>
      </c>
      <c r="K20" s="30" t="str">
        <f aca="false">IF(OR(K18="",K19=""),"",K18-K19)</f>
        <v/>
      </c>
      <c r="L20" s="30" t="str">
        <f aca="false">IF(OR(L18="",L19=""),"",L18-L19)</f>
        <v/>
      </c>
      <c r="M20" s="30" t="str">
        <f aca="false">IF(OR(M18="",M19=""),"",M18-M19)</f>
        <v/>
      </c>
      <c r="N20" s="30" t="str">
        <f aca="false">IF(OR(N18="",N19=""),"",N18-N19)</f>
        <v/>
      </c>
      <c r="O20" s="30" t="str">
        <f aca="false">IF(OR(O18="",O19=""),"",O18-O19)</f>
        <v/>
      </c>
      <c r="P20" s="30" t="str">
        <f aca="false">IF(OR(P18="",P19=""),"",P18-P19)</f>
        <v/>
      </c>
      <c r="Q20" s="30" t="str">
        <f aca="false">IF(OR(Q18="",Q19=""),"",Q18-Q19)</f>
        <v/>
      </c>
      <c r="R20" s="30" t="str">
        <f aca="false">IF(OR(R18="",R19=""),"",R18-R19)</f>
        <v/>
      </c>
      <c r="S20" s="30" t="str">
        <f aca="false">IF(OR(S18="",S19=""),"",S18-S19)</f>
        <v/>
      </c>
      <c r="T20" s="30" t="str">
        <f aca="false">IF(OR(T18="",T19=""),"",T18-T19)</f>
        <v/>
      </c>
      <c r="U20" s="30" t="str">
        <f aca="false">IF(OR(U18="",U19=""),"",U18-U19)</f>
        <v/>
      </c>
      <c r="V20" s="30" t="str">
        <f aca="false">IF(OR(V18="",V19=""),"",V18-V19)</f>
        <v/>
      </c>
      <c r="W20" s="30" t="str">
        <f aca="false">IF(OR(W18="",W19=""),"",W18-W19)</f>
        <v/>
      </c>
      <c r="X20" s="30" t="str">
        <f aca="false">IF(OR(X18="",X19=""),"",X18-X19)</f>
        <v/>
      </c>
      <c r="Y20" s="30" t="str">
        <f aca="false">IF(OR(Y18="",Y19=""),"",Y18-Y19)</f>
        <v/>
      </c>
      <c r="Z20" s="30" t="str">
        <f aca="false">IF(OR(Z18="",Z19=""),"",Z18-Z19)</f>
        <v/>
      </c>
      <c r="AA20" s="30" t="str">
        <f aca="false">IF(OR(AA18="",AA19=""),"",AA18-AA19)</f>
        <v/>
      </c>
      <c r="AB20" s="30" t="str">
        <f aca="false">IF(OR(AB18="",AB19=""),"",AB18-AB19)</f>
        <v/>
      </c>
    </row>
    <row r="21" customFormat="false" ht="15" hidden="false" customHeight="true" outlineLevel="0" collapsed="false">
      <c r="A21" s="18" t="s">
        <v>108</v>
      </c>
      <c r="B21" s="31" t="n">
        <f aca="false">IFERROR(IF(OR(B18="",B18=0,B20=""),"",B20/B18),"")</f>
        <v>0.313280259242759</v>
      </c>
      <c r="C21" s="31" t="n">
        <f aca="false">IFERROR(IF(OR(C18="",C18=0,C20=""),"",C20/C18),"")</f>
        <v>0.256288674617523</v>
      </c>
      <c r="D21" s="31" t="n">
        <f aca="false">IFERROR(IF(OR(D18="",D18=0,D20=""),"",D20/D18),"")</f>
        <v>0.254191937045305</v>
      </c>
      <c r="E21" s="31" t="n">
        <f aca="false">IFERROR(IF(OR(E18="",E18=0,E20=""),"",E20/E18),"")</f>
        <v>0.212534549508279</v>
      </c>
      <c r="F21" s="31" t="n">
        <f aca="false">IFERROR(IF(OR(F18="",F18=0,F20=""),"",F20/F18),"")</f>
        <v>0</v>
      </c>
      <c r="G21" s="31" t="n">
        <f aca="false">IFERROR(IF(OR(G18="",G18=0,G20=""),"",G20/G18),"")</f>
        <v>0.214153964856478</v>
      </c>
      <c r="H21" s="31" t="n">
        <f aca="false">IFERROR(IF(OR(H18="",H18=0,H20=""),"",H20/H18),"")</f>
        <v>0.127752763092085</v>
      </c>
      <c r="I21" s="31" t="n">
        <f aca="false">IFERROR(IF(OR(I18="",I18=0,I20=""),"",I20/I18),"")</f>
        <v>0.105256507827959</v>
      </c>
      <c r="J21" s="31" t="str">
        <f aca="false">IFERROR(IF(OR(J18="",J18=0,J20=""),"",J20/J18),"")</f>
        <v/>
      </c>
      <c r="K21" s="31" t="str">
        <f aca="false">IFERROR(IF(OR(K18="",K18=0,K20=""),"",K20/K18),"")</f>
        <v/>
      </c>
      <c r="L21" s="31" t="str">
        <f aca="false">IFERROR(IF(OR(L18="",L18=0,L20=""),"",L20/L18),"")</f>
        <v/>
      </c>
      <c r="M21" s="31" t="str">
        <f aca="false">IFERROR(IF(OR(M18="",M18=0,M20=""),"",M20/M18),"")</f>
        <v/>
      </c>
      <c r="N21" s="31" t="str">
        <f aca="false">IFERROR(IF(OR(N18="",N18=0,N20=""),"",N20/N18),"")</f>
        <v/>
      </c>
      <c r="O21" s="31" t="str">
        <f aca="false">IFERROR(IF(OR(O18="",O18=0,O20=""),"",O20/O18),"")</f>
        <v/>
      </c>
      <c r="P21" s="31" t="str">
        <f aca="false">IFERROR(IF(OR(P18="",P18=0,P20=""),"",P20/P18),"")</f>
        <v/>
      </c>
      <c r="Q21" s="31" t="str">
        <f aca="false">IFERROR(IF(OR(Q18="",Q18=0,Q20=""),"",Q20/Q18),"")</f>
        <v/>
      </c>
      <c r="R21" s="31" t="str">
        <f aca="false">IFERROR(IF(OR(R18="",R18=0,R20=""),"",R20/R18),"")</f>
        <v/>
      </c>
      <c r="S21" s="31" t="str">
        <f aca="false">IFERROR(IF(OR(S18="",S18=0,S20=""),"",S20/S18),"")</f>
        <v/>
      </c>
      <c r="T21" s="31" t="str">
        <f aca="false">IFERROR(IF(OR(T18="",T18=0,T20=""),"",T20/T18),"")</f>
        <v/>
      </c>
      <c r="U21" s="31" t="str">
        <f aca="false">IFERROR(IF(OR(U18="",U18=0,U20=""),"",U20/U18),"")</f>
        <v/>
      </c>
      <c r="V21" s="31" t="str">
        <f aca="false">IFERROR(IF(OR(V18="",V18=0,V20=""),"",V20/V18),"")</f>
        <v/>
      </c>
      <c r="W21" s="31" t="str">
        <f aca="false">IFERROR(IF(OR(W18="",W18=0,W20=""),"",W20/W18),"")</f>
        <v/>
      </c>
      <c r="X21" s="31" t="str">
        <f aca="false">IFERROR(IF(OR(X18="",X18=0,X20=""),"",X20/X18),"")</f>
        <v/>
      </c>
      <c r="Y21" s="31" t="str">
        <f aca="false">IFERROR(IF(OR(Y18="",Y18=0,Y20=""),"",Y20/Y18),"")</f>
        <v/>
      </c>
      <c r="Z21" s="31" t="str">
        <f aca="false">IFERROR(IF(OR(Z18="",Z18=0,Z20=""),"",Z20/Z18),"")</f>
        <v/>
      </c>
      <c r="AA21" s="31" t="str">
        <f aca="false">IFERROR(IF(OR(AA18="",AA18=0,AA20=""),"",AA20/AA18),"")</f>
        <v/>
      </c>
      <c r="AB21" s="31" t="str">
        <f aca="false">IFERROR(IF(OR(AB18="",AB18=0,AB20=""),"",AB20/AB18),"")</f>
        <v/>
      </c>
    </row>
    <row r="22" customFormat="false" ht="15" hidden="false" customHeight="true" outlineLevel="0" collapsed="false">
      <c r="A22" s="21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 customFormat="false" ht="15" hidden="false" customHeight="true" outlineLevel="0" collapsed="false">
      <c r="A23" s="22" t="s">
        <v>109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customFormat="false" ht="15" hidden="false" customHeight="true" outlineLevel="0" collapsed="false">
      <c r="A24" s="18" t="s">
        <v>110</v>
      </c>
      <c r="B24" s="29" t="n">
        <v>4299.50534313</v>
      </c>
      <c r="C24" s="29" t="n">
        <v>8241.53305005</v>
      </c>
      <c r="D24" s="29" t="n">
        <v>6829.84473751</v>
      </c>
      <c r="E24" s="29" t="n">
        <v>18437.08977259</v>
      </c>
      <c r="F24" s="29" t="n">
        <v>25478.32883627</v>
      </c>
      <c r="G24" s="29" t="n">
        <v>27471.41328623</v>
      </c>
      <c r="H24" s="29" t="n">
        <v>21134.17217069</v>
      </c>
      <c r="I24" s="29" t="n">
        <v>26217.9089652</v>
      </c>
      <c r="J24" s="19"/>
      <c r="K24" s="19"/>
      <c r="L24" s="19"/>
      <c r="M24" s="19"/>
      <c r="N24" s="19"/>
      <c r="O24" s="19"/>
      <c r="P24" s="19"/>
      <c r="Q24" s="19"/>
      <c r="R24" s="19"/>
      <c r="S24" s="33" t="str">
        <f aca="false">IF(Assumptions!S28="","",I30*(1+Assumptions!S28))</f>
        <v/>
      </c>
      <c r="T24" s="33" t="str">
        <f aca="false">IF(Assumptions!T28="","",S30*(1+Assumptions!T28))</f>
        <v/>
      </c>
      <c r="U24" s="33" t="str">
        <f aca="false">IF(Assumptions!U28="","",T30*(1+Assumptions!U28))</f>
        <v/>
      </c>
      <c r="V24" s="19"/>
      <c r="W24" s="33" t="str">
        <f aca="false">IF(Assumptions!W28="","",V30*(1+Assumptions!W28))</f>
        <v/>
      </c>
      <c r="X24" s="33" t="str">
        <f aca="false">IF(Assumptions!X28="","",W30*(1+Assumptions!X28))</f>
        <v/>
      </c>
      <c r="Y24" s="33" t="str">
        <f aca="false">IF(Assumptions!Y28="","",X30*(1+Assumptions!Y28))</f>
        <v/>
      </c>
      <c r="Z24" s="33" t="str">
        <f aca="false">IF(Assumptions!Z28="","",Y30*(1+Assumptions!Z28))</f>
        <v/>
      </c>
      <c r="AA24" s="33" t="str">
        <f aca="false">IF(Assumptions!AA28="","",Z30*(1+Assumptions!AA28))</f>
        <v/>
      </c>
      <c r="AB24" s="33" t="str">
        <f aca="false">IF(Assumptions!AB28="","",AA30*(1+Assumptions!AB28))</f>
        <v/>
      </c>
    </row>
    <row r="25" customFormat="false" ht="15" hidden="false" customHeight="true" outlineLevel="0" collapsed="false">
      <c r="A25" s="18" t="s">
        <v>111</v>
      </c>
      <c r="B25" s="29" t="n">
        <v>3074.6892262</v>
      </c>
      <c r="C25" s="29" t="n">
        <v>6465.2242567</v>
      </c>
      <c r="D25" s="29" t="n">
        <v>5185.10213364</v>
      </c>
      <c r="E25" s="29" t="n">
        <v>15185.84268154</v>
      </c>
      <c r="F25" s="29" t="n">
        <v>21688.84566578</v>
      </c>
      <c r="G25" s="29" t="n">
        <v>24807.83423019</v>
      </c>
      <c r="H25" s="29" t="n">
        <v>17801.32248382</v>
      </c>
      <c r="I25" s="29" t="n">
        <v>22937.67705956</v>
      </c>
      <c r="J25" s="19"/>
      <c r="K25" s="19"/>
      <c r="L25" s="19"/>
      <c r="M25" s="19"/>
      <c r="N25" s="19"/>
      <c r="O25" s="19"/>
      <c r="P25" s="19"/>
      <c r="Q25" s="19"/>
      <c r="R25" s="19"/>
      <c r="S25" s="33" t="str">
        <f aca="false">IF(Assumptions!S28="","",I25*(1+Assumptions!S28))</f>
        <v/>
      </c>
      <c r="T25" s="33" t="str">
        <f aca="false">IF(Assumptions!T28="","",S25*(1+Assumptions!T28))</f>
        <v/>
      </c>
      <c r="U25" s="33" t="str">
        <f aca="false">IF(Assumptions!U28="","",T25*(1+Assumptions!U28))</f>
        <v/>
      </c>
      <c r="V25" s="19"/>
      <c r="W25" s="33" t="str">
        <f aca="false">IF(Assumptions!W28="","",V25*(1+Assumptions!W28))</f>
        <v/>
      </c>
      <c r="X25" s="33" t="str">
        <f aca="false">IF(Assumptions!X28="","",W25*(1+Assumptions!X28))</f>
        <v/>
      </c>
      <c r="Y25" s="33" t="str">
        <f aca="false">IF(Assumptions!Y28="","",X25*(1+Assumptions!Y28))</f>
        <v/>
      </c>
      <c r="Z25" s="33" t="str">
        <f aca="false">IF(Assumptions!Z28="","",Y25*(1+Assumptions!Z28))</f>
        <v/>
      </c>
      <c r="AA25" s="33" t="str">
        <f aca="false">IF(Assumptions!AA28="","",Z25*(1+Assumptions!AA28))</f>
        <v/>
      </c>
      <c r="AB25" s="33" t="str">
        <f aca="false">IF(Assumptions!AB28="","",AA25*(1+Assumptions!AB28))</f>
        <v/>
      </c>
    </row>
    <row r="26" customFormat="false" ht="15" hidden="false" customHeight="true" outlineLevel="0" collapsed="false">
      <c r="A26" s="18" t="s">
        <v>112</v>
      </c>
      <c r="B26" s="19"/>
      <c r="C26" s="19"/>
      <c r="D26" s="19"/>
      <c r="E26" s="29" t="n">
        <v>-10901.87560701</v>
      </c>
      <c r="F26" s="29" t="n">
        <v>-13625.26938899</v>
      </c>
      <c r="G26" s="29" t="n">
        <v>-14454.74782715</v>
      </c>
      <c r="H26" s="29" t="n">
        <v>-16419.81016239</v>
      </c>
      <c r="I26" s="29" t="n">
        <v>-16286.5615009</v>
      </c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customFormat="false" ht="15" hidden="false" customHeight="true" outlineLevel="0" collapsed="false">
      <c r="A27" s="18" t="s">
        <v>113</v>
      </c>
      <c r="B27" s="19"/>
      <c r="C27" s="19"/>
      <c r="D27" s="19"/>
      <c r="E27" s="29" t="n">
        <v>-10820.5548498</v>
      </c>
      <c r="F27" s="29" t="n">
        <v>-13411.89018813</v>
      </c>
      <c r="G27" s="29" t="n">
        <v>-14530.8719036</v>
      </c>
      <c r="H27" s="29" t="n">
        <v>-16381.41913091</v>
      </c>
      <c r="I27" s="29" t="n">
        <v>-16307.20008465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customFormat="false" ht="15" hidden="false" customHeight="true" outlineLevel="0" collapsed="false">
      <c r="A28" s="18" t="s">
        <v>114</v>
      </c>
      <c r="B28" s="30" t="n">
        <f aca="false">IF(COUNT(B6,B12,B18)=0,"",SUM(B6,B12,B18,B24,B26))</f>
        <v>59861.90538517</v>
      </c>
      <c r="C28" s="30" t="n">
        <f aca="false">IF(COUNT(C6,C12,C18)=0,"",SUM(C6,C12,C18,C24,C26))</f>
        <v>67289.48196489</v>
      </c>
      <c r="D28" s="30" t="n">
        <f aca="false">IF(COUNT(D6,D12,D18)=0,"",SUM(D6,D12,D18,D24,D26))</f>
        <v>72279.55531064</v>
      </c>
      <c r="E28" s="30" t="n">
        <f aca="false">IF(COUNT(E6,E12,E18)=0,"",SUM(E6,E12,E18,E24,E26))</f>
        <v>144900.59246186</v>
      </c>
      <c r="F28" s="30" t="n">
        <f aca="false">IF(COUNT(F6,F12,F18)=0,"",SUM(F6,F12,F18,F24,F26))</f>
        <v>164508.00951209</v>
      </c>
      <c r="G28" s="30" t="n">
        <f aca="false">IF(COUNT(G6,G12,G18)=0,"",SUM(G6,G12,G18,G24,G26))</f>
        <v>173566.8123468</v>
      </c>
      <c r="H28" s="30" t="n">
        <f aca="false">IF(COUNT(H6,H12,H18)=0,"",SUM(H6,H12,H18,H24,H26))</f>
        <v>181349.86451323</v>
      </c>
      <c r="I28" s="30" t="n">
        <f aca="false">IF(COUNT(I6,I12,I18)=0,"",SUM(I6,I12,I18,I24,I26))</f>
        <v>202382.51200191</v>
      </c>
      <c r="J28" s="30" t="n">
        <f aca="false">IF(COUNT(J6,J12,J18)=0,"",SUM(J6,J12,J18,J24,J26))</f>
        <v>42120.51</v>
      </c>
      <c r="K28" s="30" t="n">
        <f aca="false">IF(COUNT(K6,K12,K18)=0,"",SUM(K6,K12,K18,K24,K26))</f>
        <v>45888.27</v>
      </c>
      <c r="L28" s="30" t="n">
        <f aca="false">IF(COUNT(L6,L12,L18)=0,"",SUM(L6,L12,L18,L24,L26))</f>
        <v>48213.51</v>
      </c>
      <c r="M28" s="30" t="n">
        <f aca="false">IF(COUNT(M6,M12,M18)=0,"",SUM(M6,M12,M18,M24,M26))</f>
        <v>40413.21250493</v>
      </c>
      <c r="N28" s="30" t="n">
        <f aca="false">IF(COUNT(N6,N12,N18)=0,"",SUM(N6,N12,N18,N24,N26))</f>
        <v>42117.62</v>
      </c>
      <c r="O28" s="30" t="n">
        <f aca="false">IF(COUNT(O6,O12,O18)=0,"",SUM(O6,O12,O18,O24,O26))</f>
        <v>45331.8</v>
      </c>
      <c r="P28" s="30" t="n">
        <f aca="false">IF(COUNT(P6,P12,P18)=0,"",SUM(P6,P12,P18,P24,P26))</f>
        <v>50823.92</v>
      </c>
      <c r="Q28" s="30" t="n">
        <f aca="false">IF(COUNT(Q6,Q12,Q18)=0,"",SUM(Q6,Q12,Q18,Q24,Q26))</f>
        <v>54177.82453761</v>
      </c>
      <c r="R28" s="30" t="n">
        <f aca="false">IF(COUNT(R6,R12,R18)=0,"",SUM(R6,R12,R18,R24,R26))</f>
        <v>50144.95</v>
      </c>
      <c r="S28" s="30" t="str">
        <f aca="false">IF(COUNT(S6,S12,S18)=0,"",SUM(S6,S12,S18,S24,S26))</f>
        <v/>
      </c>
      <c r="T28" s="30" t="str">
        <f aca="false">IF(COUNT(T6,T12,T18)=0,"",SUM(T6,T12,T18,T24,T26))</f>
        <v/>
      </c>
      <c r="U28" s="30" t="str">
        <f aca="false">IF(COUNT(U6,U12,U18)=0,"",SUM(U6,U12,U18,U24,U26))</f>
        <v/>
      </c>
      <c r="V28" s="30" t="n">
        <f aca="false">IF(COUNT(V6,V12,V18)=0,"",SUM(V6,V12,V18,V24,V26))</f>
        <v>65096.90784645</v>
      </c>
      <c r="W28" s="30" t="str">
        <f aca="false">IF(COUNT(W6,W12,W18)=0,"",SUM(W6,W12,W18,W24,W26))</f>
        <v/>
      </c>
      <c r="X28" s="30" t="str">
        <f aca="false">IF(COUNT(X6,X12,X18)=0,"",SUM(X6,X12,X18,X24,X26))</f>
        <v/>
      </c>
      <c r="Y28" s="30" t="str">
        <f aca="false">IF(COUNT(Y6,Y12,Y18)=0,"",SUM(Y6,Y12,Y18,Y24,Y26))</f>
        <v/>
      </c>
      <c r="Z28" s="30" t="str">
        <f aca="false">IF(COUNT(Z6,Z12,Z18)=0,"",SUM(Z6,Z12,Z18,Z24,Z26))</f>
        <v/>
      </c>
      <c r="AA28" s="30" t="str">
        <f aca="false">IF(COUNT(AA6,AA12,AA18)=0,"",SUM(AA6,AA12,AA18,AA24,AA26))</f>
        <v/>
      </c>
      <c r="AB28" s="30" t="str">
        <f aca="false">IF(COUNT(AB6,AB12,AB18)=0,"",SUM(AB6,AB12,AB18,AB24,AB26))</f>
        <v/>
      </c>
    </row>
    <row r="29" customFormat="false" ht="15" hidden="false" customHeight="true" outlineLevel="0" collapsed="false">
      <c r="A29" s="18" t="s">
        <v>115</v>
      </c>
      <c r="B29" s="30" t="n">
        <f aca="false">IF(COUNT(B7,B13,B19)=0,"",SUM(B7,B13,B19,B25,B27))</f>
        <v>39396.4733061</v>
      </c>
      <c r="C29" s="30" t="n">
        <f aca="false">IF(COUNT(C7,C13,C19)=0,"",SUM(C7,C13,C19,C25,C27))</f>
        <v>48284.24815563</v>
      </c>
      <c r="D29" s="30" t="n">
        <f aca="false">IF(COUNT(D7,D13,D19)=0,"",SUM(D7,D13,D19,D25,D27))</f>
        <v>52657.03295636</v>
      </c>
      <c r="E29" s="30" t="n">
        <f aca="false">IF(COUNT(E7,E13,E19)=0,"",SUM(E7,E13,E19,E25,E27))</f>
        <v>106736.40032485</v>
      </c>
      <c r="F29" s="30" t="n">
        <f aca="false">IF(COUNT(F7,F13,F19)=0,"",SUM(F7,F13,F19,F25,F27))</f>
        <v>142951.51533606</v>
      </c>
      <c r="G29" s="30" t="n">
        <f aca="false">IF(COUNT(G7,G13,G19)=0,"",SUM(G7,G13,G19,G25,G27))</f>
        <v>144624.87795367</v>
      </c>
      <c r="H29" s="30" t="n">
        <f aca="false">IF(COUNT(H7,H13,H19)=0,"",SUM(H7,H13,H19,H25,H27))</f>
        <v>152055.71172226</v>
      </c>
      <c r="I29" s="30" t="n">
        <f aca="false">IF(COUNT(I7,I13,I19)=0,"",SUM(I7,I13,I19,I25,I27))</f>
        <v>174925.4222623</v>
      </c>
      <c r="J29" s="30" t="str">
        <f aca="false">IF(COUNT(J7,J13,J19)=0,"",SUM(J7,J13,J19,J25,J27))</f>
        <v/>
      </c>
      <c r="K29" s="30" t="str">
        <f aca="false">IF(COUNT(K7,K13,K19)=0,"",SUM(K7,K13,K19,K25,K27))</f>
        <v/>
      </c>
      <c r="L29" s="30" t="str">
        <f aca="false">IF(COUNT(L7,L13,L19)=0,"",SUM(L7,L13,L19,L25,L27))</f>
        <v/>
      </c>
      <c r="M29" s="30" t="str">
        <f aca="false">IF(COUNT(M7,M13,M19)=0,"",SUM(M7,M13,M19,M25,M27))</f>
        <v/>
      </c>
      <c r="N29" s="30" t="str">
        <f aca="false">IF(COUNT(N7,N13,N19)=0,"",SUM(N7,N13,N19,N25,N27))</f>
        <v/>
      </c>
      <c r="O29" s="30" t="str">
        <f aca="false">IF(COUNT(O7,O13,O19)=0,"",SUM(O7,O13,O19,O25,O27))</f>
        <v/>
      </c>
      <c r="P29" s="30" t="str">
        <f aca="false">IF(COUNT(P7,P13,P19)=0,"",SUM(P7,P13,P19,P25,P27))</f>
        <v/>
      </c>
      <c r="Q29" s="30" t="str">
        <f aca="false">IF(COUNT(Q7,Q13,Q19)=0,"",SUM(Q7,Q13,Q19,Q25,Q27))</f>
        <v/>
      </c>
      <c r="R29" s="30" t="str">
        <f aca="false">IF(COUNT(R7,R13,R19)=0,"",SUM(R7,R13,R19,R25,R27))</f>
        <v/>
      </c>
      <c r="S29" s="30" t="str">
        <f aca="false">IF(COUNT(S7,S13,S19)=0,"",SUM(S7,S13,S19,S25,S27))</f>
        <v/>
      </c>
      <c r="T29" s="30" t="str">
        <f aca="false">IF(COUNT(T7,T13,T19)=0,"",SUM(T7,T13,T19,T25,T27))</f>
        <v/>
      </c>
      <c r="U29" s="30" t="str">
        <f aca="false">IF(COUNT(U7,U13,U19)=0,"",SUM(U7,U13,U19,U25,U27))</f>
        <v/>
      </c>
      <c r="V29" s="30" t="str">
        <f aca="false">IF(COUNT(V7,V13,V19)=0,"",SUM(V7,V13,V19,V25,V27))</f>
        <v/>
      </c>
      <c r="W29" s="30" t="str">
        <f aca="false">IF(COUNT(W7,W13,W19)=0,"",SUM(W7,W13,W19,W25,W27))</f>
        <v/>
      </c>
      <c r="X29" s="30" t="str">
        <f aca="false">IF(COUNT(X7,X13,X19)=0,"",SUM(X7,X13,X19,X25,X27))</f>
        <v/>
      </c>
      <c r="Y29" s="30" t="str">
        <f aca="false">IF(COUNT(Y7,Y13,Y19)=0,"",SUM(Y7,Y13,Y19,Y25,Y27))</f>
        <v/>
      </c>
      <c r="Z29" s="30" t="str">
        <f aca="false">IF(COUNT(Z7,Z13,Z19)=0,"",SUM(Z7,Z13,Z19,Z25,Z27))</f>
        <v/>
      </c>
      <c r="AA29" s="30" t="str">
        <f aca="false">IF(COUNT(AA7,AA13,AA19)=0,"",SUM(AA7,AA13,AA19,AA25,AA27))</f>
        <v/>
      </c>
      <c r="AB29" s="30" t="str">
        <f aca="false">IF(COUNT(AB7,AB13,AB19)=0,"",SUM(AB7,AB13,AB19,AB25,AB27))</f>
        <v/>
      </c>
    </row>
    <row r="30" customFormat="false" ht="15" hidden="false" customHeight="true" outlineLevel="0" collapsed="false">
      <c r="A30" s="18" t="s">
        <v>116</v>
      </c>
      <c r="B30" s="33" t="n">
        <f aca="false">IF('Consol P&amp;L'!B$6="","",'Consol P&amp;L'!B$6-IF(B28="",0,B28))</f>
        <v>759.288051739997</v>
      </c>
      <c r="C30" s="33" t="n">
        <f aca="false">IF('Consol P&amp;L'!C$6="","",'Consol P&amp;L'!C$6-IF(C28="",0,C28))</f>
        <v>761.186685890003</v>
      </c>
      <c r="D30" s="33" t="n">
        <f aca="false">IF('Consol P&amp;L'!D$6="","",'Consol P&amp;L'!D$6-IF(D28="",0,D28))</f>
        <v>1153.41316498999</v>
      </c>
      <c r="E30" s="33" t="n">
        <f aca="false">IF('Consol P&amp;L'!E$6="","",'Consol P&amp;L'!E$6-IF(E28="",0,E28))</f>
        <v>637.225166690012</v>
      </c>
      <c r="F30" s="33" t="n">
        <f aca="false">IF('Consol P&amp;L'!F$6="","",'Consol P&amp;L'!F$6-IF(F28="",0,F28))</f>
        <v>1057.4748616</v>
      </c>
      <c r="G30" s="33" t="n">
        <f aca="false">IF('Consol P&amp;L'!G$6="","",'Consol P&amp;L'!G$6-IF(G28="",0,G28))</f>
        <v>1794.12332156001</v>
      </c>
      <c r="H30" s="33" t="n">
        <f aca="false">IF('Consol P&amp;L'!H$6="","",'Consol P&amp;L'!H$6-IF(H28="",0,H28))</f>
        <v>719.254647709982</v>
      </c>
      <c r="I30" s="33" t="n">
        <f aca="false">IF('Consol P&amp;L'!I$6="","",'Consol P&amp;L'!I$6-IF(I28="",0,I28))</f>
        <v>852.061812509986</v>
      </c>
      <c r="J30" s="33" t="n">
        <f aca="false">IF('Consol P&amp;L'!J$6="","",'Consol P&amp;L'!J$6-IF(J28="",0,J28))</f>
        <v>4040.49469346</v>
      </c>
      <c r="K30" s="33" t="n">
        <f aca="false">IF('Consol P&amp;L'!K$6="","",'Consol P&amp;L'!K$6-IF(K28="",0,K28))</f>
        <v>5018.08886362999</v>
      </c>
      <c r="L30" s="33" t="n">
        <f aca="false">IF('Consol P&amp;L'!L$6="","",'Consol P&amp;L'!L$6-IF(L28="",0,L28))</f>
        <v>2323.27685436</v>
      </c>
      <c r="M30" s="33" t="n">
        <f aca="false">IF('Consol P&amp;L'!M$6="","",'Consol P&amp;L'!M$6-IF(M28="",0,M28))</f>
        <v>-5948.24375544</v>
      </c>
      <c r="N30" s="33" t="n">
        <f aca="false">IF('Consol P&amp;L'!N$6="","",'Consol P&amp;L'!N$6-IF(N28="",0,N28))</f>
        <v>950.230762479994</v>
      </c>
      <c r="O30" s="33" t="n">
        <f aca="false">IF('Consol P&amp;L'!O$6="","",'Consol P&amp;L'!O$6-IF(O28="",0,O28))</f>
        <v>2501.78616009</v>
      </c>
      <c r="P30" s="33" t="n">
        <f aca="false">IF('Consol P&amp;L'!P$6="","",'Consol P&amp;L'!P$6-IF(P28="",0,P28))</f>
        <v>2500.43852843</v>
      </c>
      <c r="Q30" s="33" t="n">
        <f aca="false">IF('Consol P&amp;L'!Q$6="","",'Consol P&amp;L'!Q$6-IF(Q28="",0,Q28))</f>
        <v>4830.95382581</v>
      </c>
      <c r="R30" s="33" t="n">
        <f aca="false">IF('Consol P&amp;L'!R$6="","",'Consol P&amp;L'!R$6-IF(R28="",0,R28))</f>
        <v>3907.21536136</v>
      </c>
      <c r="S30" s="30" t="str">
        <f aca="false">""</f>
        <v/>
      </c>
      <c r="T30" s="30" t="str">
        <f aca="false">""</f>
        <v/>
      </c>
      <c r="U30" s="30" t="str">
        <f aca="false">""</f>
        <v/>
      </c>
      <c r="V30" s="33" t="n">
        <f aca="false">IF('Consol P&amp;L'!V$6="","",'Consol P&amp;L'!V$6-IF(V28="",0,V28))</f>
        <v>166.790587039992</v>
      </c>
      <c r="W30" s="30" t="str">
        <f aca="false">""</f>
        <v/>
      </c>
      <c r="X30" s="30" t="str">
        <f aca="false">""</f>
        <v/>
      </c>
      <c r="Y30" s="30" t="str">
        <f aca="false">""</f>
        <v/>
      </c>
      <c r="Z30" s="30" t="str">
        <f aca="false">""</f>
        <v/>
      </c>
      <c r="AA30" s="30" t="str">
        <f aca="false">""</f>
        <v/>
      </c>
      <c r="AB30" s="30" t="str">
        <f aca="false">""</f>
        <v/>
      </c>
    </row>
    <row r="31" customFormat="false" ht="15" hidden="false" customHeight="true" outlineLevel="0" collapsed="false">
      <c r="A31" s="18" t="s">
        <v>117</v>
      </c>
      <c r="B31" s="33" t="n">
        <f aca="false">IF('Consol P&amp;L'!B$9="","",'Consol P&amp;L'!B$9-IF(B29="",0,B29))</f>
        <v>717.883575089996</v>
      </c>
      <c r="C31" s="33" t="n">
        <f aca="false">IF('Consol P&amp;L'!C$9="","",'Consol P&amp;L'!C$9-IF(C29="",0,C29))</f>
        <v>713.362346220005</v>
      </c>
      <c r="D31" s="33" t="n">
        <f aca="false">IF('Consol P&amp;L'!D$9="","",'Consol P&amp;L'!D$9-IF(D29="",0,D29))</f>
        <v>1108.87204958</v>
      </c>
      <c r="E31" s="33" t="n">
        <f aca="false">IF('Consol P&amp;L'!E$9="","",'Consol P&amp;L'!E$9-IF(E29="",0,E29))</f>
        <v>580.10831950001</v>
      </c>
      <c r="F31" s="33" t="n">
        <f aca="false">IF('Consol P&amp;L'!F$9="","",'Consol P&amp;L'!F$9-IF(F29="",0,F29))</f>
        <v>-4819.29270645999</v>
      </c>
      <c r="G31" s="33" t="n">
        <f aca="false">IF('Consol P&amp;L'!G$9="","",'Consol P&amp;L'!G$9-IF(G29="",0,G29))</f>
        <v>1301.48126965002</v>
      </c>
      <c r="H31" s="33" t="n">
        <f aca="false">IF('Consol P&amp;L'!H$9="","",'Consol P&amp;L'!H$9-IF(H29="",0,H29))</f>
        <v>586.871921640006</v>
      </c>
      <c r="I31" s="33" t="n">
        <f aca="false">IF('Consol P&amp;L'!I$9="","",'Consol P&amp;L'!I$9-IF(I29="",0,I29))</f>
        <v>644.162567019987</v>
      </c>
      <c r="J31" s="33" t="n">
        <f aca="false">IF('Consol P&amp;L'!J$9="","",'Consol P&amp;L'!J$9-IF(J29="",0,J29))</f>
        <v>38023.68029849</v>
      </c>
      <c r="K31" s="33" t="n">
        <f aca="false">IF('Consol P&amp;L'!K$9="","",'Consol P&amp;L'!K$9-IF(K29="",0,K29))</f>
        <v>43111.08612642</v>
      </c>
      <c r="L31" s="33" t="n">
        <f aca="false">IF('Consol P&amp;L'!L$9="","",'Consol P&amp;L'!L$9-IF(L29="",0,L29))</f>
        <v>43766.42378043</v>
      </c>
      <c r="M31" s="33" t="n">
        <f aca="false">IF('Consol P&amp;L'!M$9="","",'Consol P&amp;L'!M$9-IF(M29="",0,M29))</f>
        <v>27741.39343856</v>
      </c>
      <c r="N31" s="33" t="n">
        <f aca="false">IF('Consol P&amp;L'!N$9="","",'Consol P&amp;L'!N$9-IF(N29="",0,N29))</f>
        <v>36304.07900726</v>
      </c>
      <c r="O31" s="33" t="n">
        <f aca="false">IF('Consol P&amp;L'!O$9="","",'Consol P&amp;L'!O$9-IF(O29="",0,O29))</f>
        <v>42015.46721118</v>
      </c>
      <c r="P31" s="33" t="n">
        <f aca="false">IF('Consol P&amp;L'!P$9="","",'Consol P&amp;L'!P$9-IF(P29="",0,P29))</f>
        <v>46517.25526504</v>
      </c>
      <c r="Q31" s="33" t="n">
        <f aca="false">IF('Consol P&amp;L'!Q$9="","",'Consol P&amp;L'!Q$9-IF(Q29="",0,Q29))</f>
        <v>50732.78334584</v>
      </c>
      <c r="R31" s="33" t="n">
        <f aca="false">IF('Consol P&amp;L'!R$9="","",'Consol P&amp;L'!R$9-IF(R29="",0,R29))</f>
        <v>46091.33871728</v>
      </c>
      <c r="S31" s="30" t="str">
        <f aca="false">""</f>
        <v/>
      </c>
      <c r="T31" s="30" t="str">
        <f aca="false">""</f>
        <v/>
      </c>
      <c r="U31" s="30" t="str">
        <f aca="false">""</f>
        <v/>
      </c>
      <c r="V31" s="33" t="n">
        <f aca="false">IF('Consol P&amp;L'!V$9="","",'Consol P&amp;L'!V$9-IF(V29="",0,V29))</f>
        <v>52840.37501939</v>
      </c>
      <c r="W31" s="30" t="str">
        <f aca="false">""</f>
        <v/>
      </c>
      <c r="X31" s="30" t="str">
        <f aca="false">""</f>
        <v/>
      </c>
      <c r="Y31" s="30" t="str">
        <f aca="false">""</f>
        <v/>
      </c>
      <c r="Z31" s="30" t="str">
        <f aca="false">""</f>
        <v/>
      </c>
      <c r="AA31" s="30" t="str">
        <f aca="false">""</f>
        <v/>
      </c>
      <c r="AB31" s="30" t="str">
        <f aca="false">""</f>
        <v/>
      </c>
    </row>
    <row r="32" customFormat="false" ht="15" hidden="false" customHeight="true" outlineLevel="0" collapsed="false">
      <c r="A32" s="18" t="s">
        <v>118</v>
      </c>
      <c r="B32" s="33" t="n">
        <f aca="false">IF('Consol P&amp;L'!B$6="","",SUM(B28,B30))</f>
        <v>60621.19343691</v>
      </c>
      <c r="C32" s="33" t="n">
        <f aca="false">IF('Consol P&amp;L'!C$6="","",SUM(C28,C30))</f>
        <v>68050.66865078</v>
      </c>
      <c r="D32" s="33" t="n">
        <f aca="false">IF('Consol P&amp;L'!D$6="","",SUM(D28,D30))</f>
        <v>73432.96847563</v>
      </c>
      <c r="E32" s="33" t="n">
        <f aca="false">IF('Consol P&amp;L'!E$6="","",SUM(E28,E30))</f>
        <v>145537.81762855</v>
      </c>
      <c r="F32" s="33" t="n">
        <f aca="false">IF('Consol P&amp;L'!F$6="","",SUM(F28,F30))</f>
        <v>165565.48437369</v>
      </c>
      <c r="G32" s="33" t="n">
        <f aca="false">IF('Consol P&amp;L'!G$6="","",SUM(G28,G30))</f>
        <v>175360.93566836</v>
      </c>
      <c r="H32" s="33" t="n">
        <f aca="false">IF('Consol P&amp;L'!H$6="","",SUM(H28,H30))</f>
        <v>182069.11916094</v>
      </c>
      <c r="I32" s="33" t="n">
        <f aca="false">IF('Consol P&amp;L'!I$6="","",SUM(I28,I30))</f>
        <v>203234.57381442</v>
      </c>
      <c r="J32" s="33" t="n">
        <f aca="false">IF('Consol P&amp;L'!J$6="","",SUM(J28,J30))</f>
        <v>46161.00469346</v>
      </c>
      <c r="K32" s="33" t="n">
        <f aca="false">IF('Consol P&amp;L'!K$6="","",SUM(K28,K30))</f>
        <v>50906.35886363</v>
      </c>
      <c r="L32" s="33" t="n">
        <f aca="false">IF('Consol P&amp;L'!L$6="","",SUM(L28,L30))</f>
        <v>50536.78685436</v>
      </c>
      <c r="M32" s="33" t="n">
        <f aca="false">IF('Consol P&amp;L'!M$6="","",SUM(M28,M30))</f>
        <v>34464.96874949</v>
      </c>
      <c r="N32" s="33" t="n">
        <f aca="false">IF('Consol P&amp;L'!N$6="","",SUM(N28,N30))</f>
        <v>43067.85076248</v>
      </c>
      <c r="O32" s="33" t="n">
        <f aca="false">IF('Consol P&amp;L'!O$6="","",SUM(O28,O30))</f>
        <v>47833.58616009</v>
      </c>
      <c r="P32" s="33" t="n">
        <f aca="false">IF('Consol P&amp;L'!P$6="","",SUM(P28,P30))</f>
        <v>53324.35852843</v>
      </c>
      <c r="Q32" s="33" t="n">
        <f aca="false">IF('Consol P&amp;L'!Q$6="","",SUM(Q28,Q30))</f>
        <v>59008.77836342</v>
      </c>
      <c r="R32" s="33" t="n">
        <f aca="false">IF('Consol P&amp;L'!R$6="","",SUM(R28,R30))</f>
        <v>54052.16536136</v>
      </c>
      <c r="S32" s="30" t="str">
        <f aca="false">IF(S28="","",S28)</f>
        <v/>
      </c>
      <c r="T32" s="30" t="str">
        <f aca="false">IF(T28="","",T28)</f>
        <v/>
      </c>
      <c r="U32" s="30" t="str">
        <f aca="false">IF(U28="","",U28)</f>
        <v/>
      </c>
      <c r="V32" s="33" t="n">
        <f aca="false">IF('Consol P&amp;L'!V$6="","",SUM(V28,V30))</f>
        <v>65263.69843349</v>
      </c>
      <c r="W32" s="30" t="str">
        <f aca="false">IF(W28="","",W28)</f>
        <v/>
      </c>
      <c r="X32" s="30" t="str">
        <f aca="false">IF(X28="","",X28)</f>
        <v/>
      </c>
      <c r="Y32" s="30" t="str">
        <f aca="false">IF(Y28="","",Y28)</f>
        <v/>
      </c>
      <c r="Z32" s="30" t="str">
        <f aca="false">IF(Z28="","",Z28)</f>
        <v/>
      </c>
      <c r="AA32" s="30" t="str">
        <f aca="false">IF(AA28="","",AA28)</f>
        <v/>
      </c>
      <c r="AB32" s="30" t="str">
        <f aca="false">IF(AB28="","",AB28)</f>
        <v/>
      </c>
    </row>
    <row r="33" customFormat="false" ht="15" hidden="false" customHeight="true" outlineLevel="0" collapsed="false">
      <c r="A33" s="18" t="s">
        <v>119</v>
      </c>
      <c r="B33" s="33" t="n">
        <f aca="false">IF('Consol P&amp;L'!B$9="","",SUM(B29,B31))</f>
        <v>40114.35688119</v>
      </c>
      <c r="C33" s="33" t="n">
        <f aca="false">IF('Consol P&amp;L'!C$9="","",SUM(C29,C31))</f>
        <v>48997.61050185</v>
      </c>
      <c r="D33" s="33" t="n">
        <f aca="false">IF('Consol P&amp;L'!D$9="","",SUM(D29,D31))</f>
        <v>53765.90500594</v>
      </c>
      <c r="E33" s="33" t="n">
        <f aca="false">IF('Consol P&amp;L'!E$9="","",SUM(E29,E31))</f>
        <v>107316.50864435</v>
      </c>
      <c r="F33" s="33" t="n">
        <f aca="false">IF('Consol P&amp;L'!F$9="","",SUM(F29,F31))</f>
        <v>138132.2226296</v>
      </c>
      <c r="G33" s="33" t="n">
        <f aca="false">IF('Consol P&amp;L'!G$9="","",SUM(G29,G31))</f>
        <v>145926.35922332</v>
      </c>
      <c r="H33" s="33" t="n">
        <f aca="false">IF('Consol P&amp;L'!H$9="","",SUM(H29,H31))</f>
        <v>152642.5836439</v>
      </c>
      <c r="I33" s="33" t="n">
        <f aca="false">IF('Consol P&amp;L'!I$9="","",SUM(I29,I31))</f>
        <v>175569.58482932</v>
      </c>
      <c r="J33" s="33" t="n">
        <f aca="false">IF('Consol P&amp;L'!J$9="","",SUM(J29,J31))</f>
        <v>38023.68029849</v>
      </c>
      <c r="K33" s="33" t="n">
        <f aca="false">IF('Consol P&amp;L'!K$9="","",SUM(K29,K31))</f>
        <v>43111.08612642</v>
      </c>
      <c r="L33" s="33" t="n">
        <f aca="false">IF('Consol P&amp;L'!L$9="","",SUM(L29,L31))</f>
        <v>43766.42378043</v>
      </c>
      <c r="M33" s="33" t="n">
        <f aca="false">IF('Consol P&amp;L'!M$9="","",SUM(M29,M31))</f>
        <v>27741.39343856</v>
      </c>
      <c r="N33" s="33" t="n">
        <f aca="false">IF('Consol P&amp;L'!N$9="","",SUM(N29,N31))</f>
        <v>36304.07900726</v>
      </c>
      <c r="O33" s="33" t="n">
        <f aca="false">IF('Consol P&amp;L'!O$9="","",SUM(O29,O31))</f>
        <v>42015.46721118</v>
      </c>
      <c r="P33" s="33" t="n">
        <f aca="false">IF('Consol P&amp;L'!P$9="","",SUM(P29,P31))</f>
        <v>46517.25526504</v>
      </c>
      <c r="Q33" s="33" t="n">
        <f aca="false">IF('Consol P&amp;L'!Q$9="","",SUM(Q29,Q31))</f>
        <v>50732.78334584</v>
      </c>
      <c r="R33" s="33" t="n">
        <f aca="false">IF('Consol P&amp;L'!R$9="","",SUM(R29,R31))</f>
        <v>46091.33871728</v>
      </c>
      <c r="S33" s="30" t="str">
        <f aca="false">IF(S29="","",S29)</f>
        <v/>
      </c>
      <c r="T33" s="30" t="str">
        <f aca="false">IF(T29="","",T29)</f>
        <v/>
      </c>
      <c r="U33" s="30" t="str">
        <f aca="false">IF(U29="","",U29)</f>
        <v/>
      </c>
      <c r="V33" s="33" t="n">
        <f aca="false">IF('Consol P&amp;L'!V$9="","",SUM(V29,V31))</f>
        <v>52840.37501939</v>
      </c>
      <c r="W33" s="30" t="str">
        <f aca="false">IF(W29="","",W29)</f>
        <v/>
      </c>
      <c r="X33" s="30" t="str">
        <f aca="false">IF(X29="","",X29)</f>
        <v/>
      </c>
      <c r="Y33" s="30" t="str">
        <f aca="false">IF(Y29="","",Y29)</f>
        <v/>
      </c>
      <c r="Z33" s="30" t="str">
        <f aca="false">IF(Z29="","",Z29)</f>
        <v/>
      </c>
      <c r="AA33" s="30" t="str">
        <f aca="false">IF(AA29="","",AA29)</f>
        <v/>
      </c>
      <c r="AB33" s="30" t="str">
        <f aca="false">IF(AB29="","",AB29)</f>
        <v/>
      </c>
    </row>
    <row r="34" customFormat="false" ht="15" hidden="false" customHeight="true" outlineLevel="0" collapsed="false">
      <c r="A34" s="18" t="s">
        <v>120</v>
      </c>
      <c r="B34" s="30" t="n">
        <f aca="false">IF(OR(B32="",B33=""),"",B32-B33)</f>
        <v>20506.83655572</v>
      </c>
      <c r="C34" s="30" t="n">
        <f aca="false">IF(OR(C32="",C33=""),"",C32-C33)</f>
        <v>19053.05814893</v>
      </c>
      <c r="D34" s="30" t="n">
        <f aca="false">IF(OR(D32="",D33=""),"",D32-D33)</f>
        <v>19667.06346969</v>
      </c>
      <c r="E34" s="30" t="n">
        <f aca="false">IF(OR(E32="",E33=""),"",E32-E33)</f>
        <v>38221.3089842</v>
      </c>
      <c r="F34" s="30" t="n">
        <f aca="false">IF(OR(F32="",F33=""),"",F32-F33)</f>
        <v>27433.26174409</v>
      </c>
      <c r="G34" s="30" t="n">
        <f aca="false">IF(OR(G32="",G33=""),"",G32-G33)</f>
        <v>29434.57644504</v>
      </c>
      <c r="H34" s="30" t="n">
        <f aca="false">IF(OR(H32="",H33=""),"",H32-H33)</f>
        <v>29426.53551704</v>
      </c>
      <c r="I34" s="30" t="n">
        <f aca="false">IF(OR(I32="",I33=""),"",I32-I33)</f>
        <v>27664.9889851</v>
      </c>
      <c r="J34" s="30" t="n">
        <f aca="false">IF(OR(J32="",J33=""),"",J32-J33)</f>
        <v>8137.32439497</v>
      </c>
      <c r="K34" s="30" t="n">
        <f aca="false">IF(OR(K32="",K33=""),"",K32-K33)</f>
        <v>7795.27273721</v>
      </c>
      <c r="L34" s="30" t="n">
        <f aca="false">IF(OR(L32="",L33=""),"",L32-L33)</f>
        <v>6770.36307393</v>
      </c>
      <c r="M34" s="30" t="n">
        <f aca="false">IF(OR(M32="",M33=""),"",M32-M33)</f>
        <v>6723.57531093</v>
      </c>
      <c r="N34" s="30" t="n">
        <f aca="false">IF(OR(N32="",N33=""),"",N32-N33)</f>
        <v>6763.77175522</v>
      </c>
      <c r="O34" s="30" t="n">
        <f aca="false">IF(OR(O32="",O33=""),"",O32-O33)</f>
        <v>5818.11894891</v>
      </c>
      <c r="P34" s="30" t="n">
        <f aca="false">IF(OR(P32="",P33=""),"",P32-P33)</f>
        <v>6807.10326339</v>
      </c>
      <c r="Q34" s="30" t="n">
        <f aca="false">IF(OR(Q32="",Q33=""),"",Q32-Q33)</f>
        <v>8275.99501758</v>
      </c>
      <c r="R34" s="30" t="n">
        <f aca="false">IF(OR(R32="",R33=""),"",R32-R33)</f>
        <v>7960.82664408</v>
      </c>
      <c r="S34" s="30" t="str">
        <f aca="false">IF(OR(S32="",S33=""),"",S32-S33)</f>
        <v/>
      </c>
      <c r="T34" s="30" t="str">
        <f aca="false">IF(OR(T32="",T33=""),"",T32-T33)</f>
        <v/>
      </c>
      <c r="U34" s="30" t="str">
        <f aca="false">IF(OR(U32="",U33=""),"",U32-U33)</f>
        <v/>
      </c>
      <c r="V34" s="30" t="n">
        <f aca="false">IF(OR(V32="",V33=""),"",V32-V33)</f>
        <v>12423.3234141</v>
      </c>
      <c r="W34" s="30" t="str">
        <f aca="false">IF(OR(W32="",W33=""),"",W32-W33)</f>
        <v/>
      </c>
      <c r="X34" s="30" t="str">
        <f aca="false">IF(OR(X32="",X33=""),"",X32-X33)</f>
        <v/>
      </c>
      <c r="Y34" s="30" t="str">
        <f aca="false">IF(OR(Y32="",Y33=""),"",Y32-Y33)</f>
        <v/>
      </c>
      <c r="Z34" s="30" t="str">
        <f aca="false">IF(OR(Z32="",Z33=""),"",Z32-Z33)</f>
        <v/>
      </c>
      <c r="AA34" s="30" t="str">
        <f aca="false">IF(OR(AA32="",AA33=""),"",AA32-AA33)</f>
        <v/>
      </c>
      <c r="AB34" s="30" t="str">
        <f aca="false">IF(OR(AB32="",AB33=""),"",AB32-AB33)</f>
        <v/>
      </c>
    </row>
    <row r="35" customFormat="false" ht="15" hidden="false" customHeight="true" outlineLevel="0" collapsed="false">
      <c r="A35" s="18" t="s">
        <v>121</v>
      </c>
      <c r="B35" s="31" t="n">
        <f aca="false">IFERROR(IF(OR(B32="",B32=0,B34=""),"",B34/B32),"")</f>
        <v>0.338278337873074</v>
      </c>
      <c r="C35" s="31" t="n">
        <f aca="false">IFERROR(IF(OR(C32="",C32=0,C34=""),"",C34/C32),"")</f>
        <v>0.279983408343947</v>
      </c>
      <c r="D35" s="31" t="n">
        <f aca="false">IFERROR(IF(OR(D32="",D32=0,D34=""),"",D34/D32),"")</f>
        <v>0.267823347985951</v>
      </c>
      <c r="E35" s="31" t="n">
        <f aca="false">IFERROR(IF(OR(E32="",E32=0,E34=""),"",E34/E32),"")</f>
        <v>0.262621149657133</v>
      </c>
      <c r="F35" s="31" t="n">
        <f aca="false">IFERROR(IF(OR(F32="",F32=0,F34=""),"",F34/F32),"")</f>
        <v>0.165694328427607</v>
      </c>
      <c r="G35" s="31" t="n">
        <f aca="false">IFERROR(IF(OR(G32="",G32=0,G34=""),"",G34/G32),"")</f>
        <v>0.167851387955104</v>
      </c>
      <c r="H35" s="31" t="n">
        <f aca="false">IFERROR(IF(OR(H32="",H32=0,H34=""),"",H34/H32),"")</f>
        <v>0.161622880654618</v>
      </c>
      <c r="I35" s="31" t="n">
        <f aca="false">IFERROR(IF(OR(I32="",I32=0,I34=""),"",I34/I32),"")</f>
        <v>0.136123438378953</v>
      </c>
      <c r="J35" s="31" t="n">
        <f aca="false">IFERROR(IF(OR(J32="",J32=0,J34=""),"",J34/J32),"")</f>
        <v>0.17628135368819</v>
      </c>
      <c r="K35" s="31" t="n">
        <f aca="false">IFERROR(IF(OR(K32="",K32=0,K34=""),"",K34/K32),"")</f>
        <v>0.153129646496468</v>
      </c>
      <c r="L35" s="31" t="n">
        <f aca="false">IFERROR(IF(OR(L32="",L32=0,L34=""),"",L34/L32),"")</f>
        <v>0.133969005458167</v>
      </c>
      <c r="M35" s="31" t="n">
        <f aca="false">IFERROR(IF(OR(M32="",M32=0,M34=""),"",M34/M32),"")</f>
        <v>0.19508432924459</v>
      </c>
      <c r="N35" s="31" t="n">
        <f aca="false">IFERROR(IF(OR(N32="",N32=0,N34=""),"",N34/N32),"")</f>
        <v>0.157049205741014</v>
      </c>
      <c r="O35" s="31" t="n">
        <f aca="false">IFERROR(IF(OR(O32="",O32=0,O34=""),"",O34/O32),"")</f>
        <v>0.12163250585975</v>
      </c>
      <c r="P35" s="31" t="n">
        <f aca="false">IFERROR(IF(OR(P32="",P32=0,P34=""),"",P34/P32),"")</f>
        <v>0.127654667608627</v>
      </c>
      <c r="Q35" s="31" t="n">
        <f aca="false">IFERROR(IF(OR(Q32="",Q32=0,Q34=""),"",Q34/Q32),"")</f>
        <v>0.140250234746604</v>
      </c>
      <c r="R35" s="31" t="n">
        <f aca="false">IFERROR(IF(OR(R32="",R32=0,R34=""),"",R34/R32),"")</f>
        <v>0.147280439014029</v>
      </c>
      <c r="S35" s="31" t="str">
        <f aca="false">IFERROR(IF(OR(S32="",S32=0,S34=""),"",S34/S32),"")</f>
        <v/>
      </c>
      <c r="T35" s="31" t="str">
        <f aca="false">IFERROR(IF(OR(T32="",T32=0,T34=""),"",T34/T32),"")</f>
        <v/>
      </c>
      <c r="U35" s="31" t="str">
        <f aca="false">IFERROR(IF(OR(U32="",U32=0,U34=""),"",U34/U32),"")</f>
        <v/>
      </c>
      <c r="V35" s="31" t="n">
        <f aca="false">IFERROR(IF(OR(V32="",V32=0,V34=""),"",V34/V32),"")</f>
        <v>0.190355798281346</v>
      </c>
      <c r="W35" s="31" t="str">
        <f aca="false">IFERROR(IF(OR(W32="",W32=0,W34=""),"",W34/W32),"")</f>
        <v/>
      </c>
      <c r="X35" s="31" t="str">
        <f aca="false">IFERROR(IF(OR(X32="",X32=0,X34=""),"",X34/X32),"")</f>
        <v/>
      </c>
      <c r="Y35" s="31" t="str">
        <f aca="false">IFERROR(IF(OR(Y32="",Y32=0,Y34=""),"",Y34/Y32),"")</f>
        <v/>
      </c>
      <c r="Z35" s="31" t="str">
        <f aca="false">IFERROR(IF(OR(Z32="",Z32=0,Z34=""),"",Z34/Z32),"")</f>
        <v/>
      </c>
      <c r="AA35" s="31" t="str">
        <f aca="false">IFERROR(IF(OR(AA32="",AA32=0,AA34=""),"",AA34/AA32),"")</f>
        <v/>
      </c>
      <c r="AB35" s="31" t="str">
        <f aca="false">IFERROR(IF(OR(AB32="",AB32=0,AB34=""),"",AB34/AB32),"")</f>
        <v/>
      </c>
    </row>
  </sheetData>
  <mergeCells count="6">
    <mergeCell ref="A1:AB1"/>
    <mergeCell ref="A2:AB2"/>
    <mergeCell ref="A5:AB5"/>
    <mergeCell ref="A11:AB11"/>
    <mergeCell ref="A17:AB17"/>
    <mergeCell ref="A23:A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50.04"/>
    <col collapsed="false" customWidth="true" hidden="false" outlineLevel="0" max="28" min="2" style="1" width="11.83"/>
  </cols>
  <sheetData>
    <row r="1" customFormat="false" ht="18" hidden="false" customHeight="true" outlineLevel="0" collapsed="false">
      <c r="A1" s="13" t="s">
        <v>122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customFormat="false" ht="15" hidden="false" customHeight="true" outlineLevel="0" collapsed="false">
      <c r="A2" s="3" t="s">
        <v>123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4" customFormat="false" ht="15" hidden="false" customHeight="true" outlineLevel="0" collapsed="false">
      <c r="A4" s="14" t="s">
        <v>36</v>
      </c>
      <c r="B4" s="14" t="s">
        <v>37</v>
      </c>
      <c r="C4" s="14" t="s">
        <v>38</v>
      </c>
      <c r="D4" s="14" t="s">
        <v>39</v>
      </c>
      <c r="E4" s="14" t="s">
        <v>40</v>
      </c>
      <c r="F4" s="14" t="s">
        <v>41</v>
      </c>
      <c r="G4" s="14" t="s">
        <v>42</v>
      </c>
      <c r="H4" s="14" t="s">
        <v>43</v>
      </c>
      <c r="I4" s="14" t="s">
        <v>44</v>
      </c>
      <c r="J4" s="15" t="s">
        <v>45</v>
      </c>
      <c r="K4" s="15" t="s">
        <v>46</v>
      </c>
      <c r="L4" s="15" t="s">
        <v>47</v>
      </c>
      <c r="M4" s="15" t="s">
        <v>48</v>
      </c>
      <c r="N4" s="15" t="s">
        <v>49</v>
      </c>
      <c r="O4" s="15" t="s">
        <v>50</v>
      </c>
      <c r="P4" s="15" t="s">
        <v>51</v>
      </c>
      <c r="Q4" s="15" t="s">
        <v>52</v>
      </c>
      <c r="R4" s="15" t="s">
        <v>53</v>
      </c>
      <c r="S4" s="16" t="s">
        <v>54</v>
      </c>
      <c r="T4" s="16" t="s">
        <v>55</v>
      </c>
      <c r="U4" s="16" t="s">
        <v>56</v>
      </c>
      <c r="V4" s="15" t="s">
        <v>57</v>
      </c>
      <c r="W4" s="16" t="s">
        <v>58</v>
      </c>
      <c r="X4" s="16" t="s">
        <v>59</v>
      </c>
      <c r="Y4" s="16" t="s">
        <v>60</v>
      </c>
      <c r="Z4" s="16" t="s">
        <v>61</v>
      </c>
      <c r="AA4" s="16" t="s">
        <v>62</v>
      </c>
      <c r="AB4" s="16" t="s">
        <v>63</v>
      </c>
    </row>
    <row r="5" customFormat="false" ht="15" hidden="false" customHeight="true" outlineLevel="0" collapsed="false">
      <c r="A5" s="18" t="s">
        <v>124</v>
      </c>
      <c r="B5" s="33" t="n">
        <f aca="false">'Segment P&amp;L'!B32</f>
        <v>60621.19343691</v>
      </c>
      <c r="C5" s="33" t="n">
        <f aca="false">'Segment P&amp;L'!C32</f>
        <v>68050.66865078</v>
      </c>
      <c r="D5" s="33" t="n">
        <f aca="false">'Segment P&amp;L'!D32</f>
        <v>73432.96847563</v>
      </c>
      <c r="E5" s="33" t="n">
        <f aca="false">'Segment P&amp;L'!E32</f>
        <v>145537.81762855</v>
      </c>
      <c r="F5" s="33" t="n">
        <f aca="false">'Segment P&amp;L'!F32</f>
        <v>165565.48437369</v>
      </c>
      <c r="G5" s="33" t="n">
        <f aca="false">'Segment P&amp;L'!G32</f>
        <v>175360.93566836</v>
      </c>
      <c r="H5" s="33" t="n">
        <f aca="false">'Segment P&amp;L'!H32</f>
        <v>182069.11916094</v>
      </c>
      <c r="I5" s="33" t="n">
        <f aca="false">'Segment P&amp;L'!I32</f>
        <v>203234.57381442</v>
      </c>
      <c r="J5" s="33" t="n">
        <f aca="false">'Segment P&amp;L'!J32</f>
        <v>46161.00469346</v>
      </c>
      <c r="K5" s="33" t="n">
        <f aca="false">'Segment P&amp;L'!K32</f>
        <v>50906.35886363</v>
      </c>
      <c r="L5" s="33" t="n">
        <f aca="false">'Segment P&amp;L'!L32</f>
        <v>50536.78685436</v>
      </c>
      <c r="M5" s="33" t="n">
        <f aca="false">'Segment P&amp;L'!M32</f>
        <v>34464.96874949</v>
      </c>
      <c r="N5" s="33" t="n">
        <f aca="false">'Segment P&amp;L'!N32</f>
        <v>43067.85076248</v>
      </c>
      <c r="O5" s="33" t="n">
        <f aca="false">'Segment P&amp;L'!O32</f>
        <v>47833.58616009</v>
      </c>
      <c r="P5" s="33" t="n">
        <f aca="false">'Segment P&amp;L'!P32</f>
        <v>53324.35852843</v>
      </c>
      <c r="Q5" s="33" t="n">
        <f aca="false">'Segment P&amp;L'!Q32</f>
        <v>59008.77836342</v>
      </c>
      <c r="R5" s="33" t="n">
        <f aca="false">'Segment P&amp;L'!R32</f>
        <v>54052.16536136</v>
      </c>
      <c r="S5" s="33" t="str">
        <f aca="false">'Segment P&amp;L'!S32</f>
        <v/>
      </c>
      <c r="T5" s="33" t="str">
        <f aca="false">'Segment P&amp;L'!T32</f>
        <v/>
      </c>
      <c r="U5" s="33" t="str">
        <f aca="false">'Segment P&amp;L'!U32</f>
        <v/>
      </c>
      <c r="V5" s="33" t="n">
        <f aca="false">'Segment P&amp;L'!V32</f>
        <v>65263.69843349</v>
      </c>
      <c r="W5" s="33" t="str">
        <f aca="false">'Segment P&amp;L'!W32</f>
        <v/>
      </c>
      <c r="X5" s="33" t="str">
        <f aca="false">'Segment P&amp;L'!X32</f>
        <v/>
      </c>
      <c r="Y5" s="33" t="str">
        <f aca="false">'Segment P&amp;L'!Y32</f>
        <v/>
      </c>
      <c r="Z5" s="33" t="str">
        <f aca="false">'Segment P&amp;L'!Z32</f>
        <v/>
      </c>
      <c r="AA5" s="33" t="str">
        <f aca="false">'Segment P&amp;L'!AA32</f>
        <v/>
      </c>
      <c r="AB5" s="33" t="str">
        <f aca="false">'Segment P&amp;L'!AB32</f>
        <v/>
      </c>
    </row>
    <row r="6" customFormat="false" ht="15" hidden="false" customHeight="true" outlineLevel="0" collapsed="false">
      <c r="A6" s="18" t="s">
        <v>125</v>
      </c>
      <c r="B6" s="29" t="n">
        <v>60621.19343691</v>
      </c>
      <c r="C6" s="29" t="n">
        <v>68050.66865078</v>
      </c>
      <c r="D6" s="29" t="n">
        <v>73432.96847563</v>
      </c>
      <c r="E6" s="29" t="n">
        <v>145537.81762855</v>
      </c>
      <c r="F6" s="29" t="n">
        <v>165565.48437369</v>
      </c>
      <c r="G6" s="29" t="n">
        <v>175360.93566836</v>
      </c>
      <c r="H6" s="29" t="n">
        <v>182069.11916094</v>
      </c>
      <c r="I6" s="29" t="n">
        <v>203234.57381442</v>
      </c>
      <c r="J6" s="29" t="n">
        <v>46161.00469346</v>
      </c>
      <c r="K6" s="29" t="n">
        <v>50906.35886363</v>
      </c>
      <c r="L6" s="29" t="n">
        <v>50536.78685436</v>
      </c>
      <c r="M6" s="29" t="n">
        <v>34464.96874949</v>
      </c>
      <c r="N6" s="29" t="n">
        <v>43067.85076248</v>
      </c>
      <c r="O6" s="29" t="n">
        <v>47833.58616009</v>
      </c>
      <c r="P6" s="29" t="n">
        <v>53324.35852843</v>
      </c>
      <c r="Q6" s="29" t="n">
        <v>59008.77836342</v>
      </c>
      <c r="R6" s="29" t="n">
        <v>54052.16536136</v>
      </c>
      <c r="S6" s="30" t="str">
        <f aca="false">IF(S5="","",S5)</f>
        <v/>
      </c>
      <c r="T6" s="30" t="str">
        <f aca="false">IF(T5="","",T5)</f>
        <v/>
      </c>
      <c r="U6" s="30" t="str">
        <f aca="false">IF(U5="","",U5)</f>
        <v/>
      </c>
      <c r="V6" s="29" t="n">
        <v>65263.69843349</v>
      </c>
      <c r="W6" s="30" t="str">
        <f aca="false">IF(W5="","",W5)</f>
        <v/>
      </c>
      <c r="X6" s="30" t="str">
        <f aca="false">IF(X5="","",X5)</f>
        <v/>
      </c>
      <c r="Y6" s="30" t="str">
        <f aca="false">IF(Y5="","",Y5)</f>
        <v/>
      </c>
      <c r="Z6" s="30" t="str">
        <f aca="false">IF(Z5="","",Z5)</f>
        <v/>
      </c>
      <c r="AA6" s="30" t="str">
        <f aca="false">IF(AA5="","",AA5)</f>
        <v/>
      </c>
      <c r="AB6" s="30" t="str">
        <f aca="false">IF(AB5="","",AB5)</f>
        <v/>
      </c>
    </row>
    <row r="7" customFormat="false" ht="15" hidden="false" customHeight="true" outlineLevel="0" collapsed="false">
      <c r="A7" s="18" t="s">
        <v>126</v>
      </c>
      <c r="B7" s="30" t="n">
        <f aca="false">IF(OR(B5="",B6=""),"",B5-B6)</f>
        <v>0</v>
      </c>
      <c r="C7" s="30" t="n">
        <f aca="false">IF(OR(C5="",C6=""),"",C5-C6)</f>
        <v>0</v>
      </c>
      <c r="D7" s="30" t="n">
        <f aca="false">IF(OR(D5="",D6=""),"",D5-D6)</f>
        <v>0</v>
      </c>
      <c r="E7" s="30" t="n">
        <f aca="false">IF(OR(E5="",E6=""),"",E5-E6)</f>
        <v>0</v>
      </c>
      <c r="F7" s="30" t="n">
        <f aca="false">IF(OR(F5="",F6=""),"",F5-F6)</f>
        <v>0</v>
      </c>
      <c r="G7" s="30" t="n">
        <f aca="false">IF(OR(G5="",G6=""),"",G5-G6)</f>
        <v>0</v>
      </c>
      <c r="H7" s="30" t="n">
        <f aca="false">IF(OR(H5="",H6=""),"",H5-H6)</f>
        <v>0</v>
      </c>
      <c r="I7" s="30" t="n">
        <f aca="false">IF(OR(I5="",I6=""),"",I5-I6)</f>
        <v>0</v>
      </c>
      <c r="J7" s="30" t="n">
        <f aca="false">IF(OR(J5="",J6=""),"",J5-J6)</f>
        <v>0</v>
      </c>
      <c r="K7" s="30" t="n">
        <f aca="false">IF(OR(K5="",K6=""),"",K5-K6)</f>
        <v>0</v>
      </c>
      <c r="L7" s="30" t="n">
        <f aca="false">IF(OR(L5="",L6=""),"",L5-L6)</f>
        <v>0</v>
      </c>
      <c r="M7" s="30" t="n">
        <f aca="false">IF(OR(M5="",M6=""),"",M5-M6)</f>
        <v>0</v>
      </c>
      <c r="N7" s="30" t="n">
        <f aca="false">IF(OR(N5="",N6=""),"",N5-N6)</f>
        <v>0</v>
      </c>
      <c r="O7" s="30" t="n">
        <f aca="false">IF(OR(O5="",O6=""),"",O5-O6)</f>
        <v>0</v>
      </c>
      <c r="P7" s="30" t="n">
        <f aca="false">IF(OR(P5="",P6=""),"",P5-P6)</f>
        <v>0</v>
      </c>
      <c r="Q7" s="30" t="n">
        <f aca="false">IF(OR(Q5="",Q6=""),"",Q5-Q6)</f>
        <v>0</v>
      </c>
      <c r="R7" s="30" t="n">
        <f aca="false">IF(OR(R5="",R6=""),"",R5-R6)</f>
        <v>0</v>
      </c>
      <c r="S7" s="30" t="str">
        <f aca="false">IF(OR(S5="",S6=""),"",S5-S6)</f>
        <v/>
      </c>
      <c r="T7" s="30" t="str">
        <f aca="false">IF(OR(T5="",T6=""),"",T5-T6)</f>
        <v/>
      </c>
      <c r="U7" s="30" t="str">
        <f aca="false">IF(OR(U5="",U6=""),"",U5-U6)</f>
        <v/>
      </c>
      <c r="V7" s="30" t="n">
        <f aca="false">IF(OR(V5="",V6=""),"",V5-V6)</f>
        <v>0</v>
      </c>
      <c r="W7" s="30" t="str">
        <f aca="false">IF(OR(W5="",W6=""),"",W5-W6)</f>
        <v/>
      </c>
      <c r="X7" s="30" t="str">
        <f aca="false">IF(OR(X5="",X6=""),"",X5-X6)</f>
        <v/>
      </c>
      <c r="Y7" s="30" t="str">
        <f aca="false">IF(OR(Y5="",Y6=""),"",Y5-Y6)</f>
        <v/>
      </c>
      <c r="Z7" s="30" t="str">
        <f aca="false">IF(OR(Z5="",Z6=""),"",Z5-Z6)</f>
        <v/>
      </c>
      <c r="AA7" s="30" t="str">
        <f aca="false">IF(OR(AA5="",AA6=""),"",AA5-AA6)</f>
        <v/>
      </c>
      <c r="AB7" s="30" t="str">
        <f aca="false">IF(OR(AB5="",AB6=""),"",AB5-AB6)</f>
        <v/>
      </c>
    </row>
    <row r="8" customFormat="false" ht="15" hidden="false" customHeight="true" outlineLevel="0" collapsed="false">
      <c r="A8" s="18" t="s">
        <v>127</v>
      </c>
      <c r="B8" s="33" t="n">
        <f aca="false">'Segment P&amp;L'!B33</f>
        <v>40114.35688119</v>
      </c>
      <c r="C8" s="33" t="n">
        <f aca="false">'Segment P&amp;L'!C33</f>
        <v>48997.61050185</v>
      </c>
      <c r="D8" s="33" t="n">
        <f aca="false">'Segment P&amp;L'!D33</f>
        <v>53765.90500594</v>
      </c>
      <c r="E8" s="33" t="n">
        <f aca="false">'Segment P&amp;L'!E33</f>
        <v>107316.50864435</v>
      </c>
      <c r="F8" s="33" t="n">
        <f aca="false">'Segment P&amp;L'!F33</f>
        <v>138132.2226296</v>
      </c>
      <c r="G8" s="33" t="n">
        <f aca="false">'Segment P&amp;L'!G33</f>
        <v>145926.35922332</v>
      </c>
      <c r="H8" s="33" t="n">
        <f aca="false">'Segment P&amp;L'!H33</f>
        <v>152642.5836439</v>
      </c>
      <c r="I8" s="33" t="n">
        <f aca="false">'Segment P&amp;L'!I33</f>
        <v>175569.58482932</v>
      </c>
      <c r="J8" s="33" t="n">
        <f aca="false">'Segment P&amp;L'!J33</f>
        <v>38023.68029849</v>
      </c>
      <c r="K8" s="33" t="n">
        <f aca="false">'Segment P&amp;L'!K33</f>
        <v>43111.08612642</v>
      </c>
      <c r="L8" s="33" t="n">
        <f aca="false">'Segment P&amp;L'!L33</f>
        <v>43766.42378043</v>
      </c>
      <c r="M8" s="33" t="n">
        <f aca="false">'Segment P&amp;L'!M33</f>
        <v>27741.39343856</v>
      </c>
      <c r="N8" s="33" t="n">
        <f aca="false">'Segment P&amp;L'!N33</f>
        <v>36304.07900726</v>
      </c>
      <c r="O8" s="33" t="n">
        <f aca="false">'Segment P&amp;L'!O33</f>
        <v>42015.46721118</v>
      </c>
      <c r="P8" s="33" t="n">
        <f aca="false">'Segment P&amp;L'!P33</f>
        <v>46517.25526504</v>
      </c>
      <c r="Q8" s="33" t="n">
        <f aca="false">'Segment P&amp;L'!Q33</f>
        <v>50732.78334584</v>
      </c>
      <c r="R8" s="33" t="n">
        <f aca="false">'Segment P&amp;L'!R33</f>
        <v>46091.33871728</v>
      </c>
      <c r="S8" s="33" t="str">
        <f aca="false">'Segment P&amp;L'!S33</f>
        <v/>
      </c>
      <c r="T8" s="33" t="str">
        <f aca="false">'Segment P&amp;L'!T33</f>
        <v/>
      </c>
      <c r="U8" s="33" t="str">
        <f aca="false">'Segment P&amp;L'!U33</f>
        <v/>
      </c>
      <c r="V8" s="33" t="n">
        <f aca="false">'Segment P&amp;L'!V33</f>
        <v>52840.37501939</v>
      </c>
      <c r="W8" s="33" t="str">
        <f aca="false">'Segment P&amp;L'!W33</f>
        <v/>
      </c>
      <c r="X8" s="33" t="str">
        <f aca="false">'Segment P&amp;L'!X33</f>
        <v/>
      </c>
      <c r="Y8" s="33" t="str">
        <f aca="false">'Segment P&amp;L'!Y33</f>
        <v/>
      </c>
      <c r="Z8" s="33" t="str">
        <f aca="false">'Segment P&amp;L'!Z33</f>
        <v/>
      </c>
      <c r="AA8" s="33" t="str">
        <f aca="false">'Segment P&amp;L'!AA33</f>
        <v/>
      </c>
      <c r="AB8" s="33" t="str">
        <f aca="false">'Segment P&amp;L'!AB33</f>
        <v/>
      </c>
    </row>
    <row r="9" customFormat="false" ht="15" hidden="false" customHeight="true" outlineLevel="0" collapsed="false">
      <c r="A9" s="18" t="s">
        <v>128</v>
      </c>
      <c r="B9" s="29" t="n">
        <v>40114.35688119</v>
      </c>
      <c r="C9" s="29" t="n">
        <v>48997.61050185</v>
      </c>
      <c r="D9" s="29" t="n">
        <v>53765.90500594</v>
      </c>
      <c r="E9" s="29" t="n">
        <v>107316.50864435</v>
      </c>
      <c r="F9" s="29" t="n">
        <v>138132.2226296</v>
      </c>
      <c r="G9" s="29" t="n">
        <v>145926.35922332</v>
      </c>
      <c r="H9" s="29" t="n">
        <v>152642.5836439</v>
      </c>
      <c r="I9" s="29" t="n">
        <v>175569.58482932</v>
      </c>
      <c r="J9" s="29" t="n">
        <v>38023.68029849</v>
      </c>
      <c r="K9" s="29" t="n">
        <v>43111.08612642</v>
      </c>
      <c r="L9" s="29" t="n">
        <v>43766.42378043</v>
      </c>
      <c r="M9" s="29" t="n">
        <v>27741.39343856</v>
      </c>
      <c r="N9" s="29" t="n">
        <v>36304.07900726</v>
      </c>
      <c r="O9" s="29" t="n">
        <v>42015.46721118</v>
      </c>
      <c r="P9" s="29" t="n">
        <v>46517.25526504</v>
      </c>
      <c r="Q9" s="29" t="n">
        <v>50732.78334584</v>
      </c>
      <c r="R9" s="29" t="n">
        <v>46091.33871728</v>
      </c>
      <c r="S9" s="30" t="str">
        <f aca="false">IF(S8="","",S8)</f>
        <v/>
      </c>
      <c r="T9" s="30" t="str">
        <f aca="false">IF(T8="","",T8)</f>
        <v/>
      </c>
      <c r="U9" s="30" t="str">
        <f aca="false">IF(U8="","",U8)</f>
        <v/>
      </c>
      <c r="V9" s="29" t="n">
        <v>52840.37501939</v>
      </c>
      <c r="W9" s="30" t="str">
        <f aca="false">IF(W8="","",W8)</f>
        <v/>
      </c>
      <c r="X9" s="30" t="str">
        <f aca="false">IF(X8="","",X8)</f>
        <v/>
      </c>
      <c r="Y9" s="30" t="str">
        <f aca="false">IF(Y8="","",Y8)</f>
        <v/>
      </c>
      <c r="Z9" s="30" t="str">
        <f aca="false">IF(Z8="","",Z8)</f>
        <v/>
      </c>
      <c r="AA9" s="30" t="str">
        <f aca="false">IF(AA8="","",AA8)</f>
        <v/>
      </c>
      <c r="AB9" s="30" t="str">
        <f aca="false">IF(AB8="","",AB8)</f>
        <v/>
      </c>
    </row>
    <row r="10" customFormat="false" ht="15" hidden="false" customHeight="true" outlineLevel="0" collapsed="false">
      <c r="A10" s="18" t="s">
        <v>129</v>
      </c>
      <c r="B10" s="30" t="n">
        <f aca="false">IF(OR(B8="",B9=""),"",B8-B9)</f>
        <v>0</v>
      </c>
      <c r="C10" s="30" t="n">
        <f aca="false">IF(OR(C8="",C9=""),"",C8-C9)</f>
        <v>0</v>
      </c>
      <c r="D10" s="30" t="n">
        <f aca="false">IF(OR(D8="",D9=""),"",D8-D9)</f>
        <v>0</v>
      </c>
      <c r="E10" s="30" t="n">
        <f aca="false">IF(OR(E8="",E9=""),"",E8-E9)</f>
        <v>0</v>
      </c>
      <c r="F10" s="30" t="n">
        <f aca="false">IF(OR(F8="",F9=""),"",F8-F9)</f>
        <v>0</v>
      </c>
      <c r="G10" s="30" t="n">
        <f aca="false">IF(OR(G8="",G9=""),"",G8-G9)</f>
        <v>0</v>
      </c>
      <c r="H10" s="30" t="n">
        <f aca="false">IF(OR(H8="",H9=""),"",H8-H9)</f>
        <v>0</v>
      </c>
      <c r="I10" s="30" t="n">
        <f aca="false">IF(OR(I8="",I9=""),"",I8-I9)</f>
        <v>0</v>
      </c>
      <c r="J10" s="30" t="n">
        <f aca="false">IF(OR(J8="",J9=""),"",J8-J9)</f>
        <v>0</v>
      </c>
      <c r="K10" s="30" t="n">
        <f aca="false">IF(OR(K8="",K9=""),"",K8-K9)</f>
        <v>0</v>
      </c>
      <c r="L10" s="30" t="n">
        <f aca="false">IF(OR(L8="",L9=""),"",L8-L9)</f>
        <v>0</v>
      </c>
      <c r="M10" s="30" t="n">
        <f aca="false">IF(OR(M8="",M9=""),"",M8-M9)</f>
        <v>0</v>
      </c>
      <c r="N10" s="30" t="n">
        <f aca="false">IF(OR(N8="",N9=""),"",N8-N9)</f>
        <v>0</v>
      </c>
      <c r="O10" s="30" t="n">
        <f aca="false">IF(OR(O8="",O9=""),"",O8-O9)</f>
        <v>0</v>
      </c>
      <c r="P10" s="30" t="n">
        <f aca="false">IF(OR(P8="",P9=""),"",P8-P9)</f>
        <v>0</v>
      </c>
      <c r="Q10" s="30" t="n">
        <f aca="false">IF(OR(Q8="",Q9=""),"",Q8-Q9)</f>
        <v>0</v>
      </c>
      <c r="R10" s="30" t="n">
        <f aca="false">IF(OR(R8="",R9=""),"",R8-R9)</f>
        <v>0</v>
      </c>
      <c r="S10" s="30" t="str">
        <f aca="false">IF(OR(S8="",S9=""),"",S8-S9)</f>
        <v/>
      </c>
      <c r="T10" s="30" t="str">
        <f aca="false">IF(OR(T8="",T9=""),"",T8-T9)</f>
        <v/>
      </c>
      <c r="U10" s="30" t="str">
        <f aca="false">IF(OR(U8="",U9=""),"",U8-U9)</f>
        <v/>
      </c>
      <c r="V10" s="30" t="n">
        <f aca="false">IF(OR(V8="",V9=""),"",V8-V9)</f>
        <v>0</v>
      </c>
      <c r="W10" s="30" t="str">
        <f aca="false">IF(OR(W8="",W9=""),"",W8-W9)</f>
        <v/>
      </c>
      <c r="X10" s="30" t="str">
        <f aca="false">IF(OR(X8="",X9=""),"",X8-X9)</f>
        <v/>
      </c>
      <c r="Y10" s="30" t="str">
        <f aca="false">IF(OR(Y8="",Y9=""),"",Y8-Y9)</f>
        <v/>
      </c>
      <c r="Z10" s="30" t="str">
        <f aca="false">IF(OR(Z8="",Z9=""),"",Z8-Z9)</f>
        <v/>
      </c>
      <c r="AA10" s="30" t="str">
        <f aca="false">IF(OR(AA8="",AA9=""),"",AA8-AA9)</f>
        <v/>
      </c>
      <c r="AB10" s="30" t="str">
        <f aca="false">IF(OR(AB8="",AB9=""),"",AB8-AB9)</f>
        <v/>
      </c>
    </row>
    <row r="11" customFormat="false" ht="15" hidden="false" customHeight="true" outlineLevel="0" collapsed="false">
      <c r="A11" s="18" t="s">
        <v>107</v>
      </c>
      <c r="B11" s="30" t="n">
        <f aca="false">IF(OR(B6="",B9=""),"",B6-B9)</f>
        <v>20506.83655572</v>
      </c>
      <c r="C11" s="30" t="n">
        <f aca="false">IF(OR(C6="",C9=""),"",C6-C9)</f>
        <v>19053.05814893</v>
      </c>
      <c r="D11" s="30" t="n">
        <f aca="false">IF(OR(D6="",D9=""),"",D6-D9)</f>
        <v>19667.06346969</v>
      </c>
      <c r="E11" s="30" t="n">
        <f aca="false">IF(OR(E6="",E9=""),"",E6-E9)</f>
        <v>38221.3089842</v>
      </c>
      <c r="F11" s="30" t="n">
        <f aca="false">IF(OR(F6="",F9=""),"",F6-F9)</f>
        <v>27433.26174409</v>
      </c>
      <c r="G11" s="30" t="n">
        <f aca="false">IF(OR(G6="",G9=""),"",G6-G9)</f>
        <v>29434.57644504</v>
      </c>
      <c r="H11" s="30" t="n">
        <f aca="false">IF(OR(H6="",H9=""),"",H6-H9)</f>
        <v>29426.53551704</v>
      </c>
      <c r="I11" s="30" t="n">
        <f aca="false">IF(OR(I6="",I9=""),"",I6-I9)</f>
        <v>27664.9889851</v>
      </c>
      <c r="J11" s="30" t="n">
        <f aca="false">IF(OR(J6="",J9=""),"",J6-J9)</f>
        <v>8137.32439497</v>
      </c>
      <c r="K11" s="30" t="n">
        <f aca="false">IF(OR(K6="",K9=""),"",K6-K9)</f>
        <v>7795.27273721</v>
      </c>
      <c r="L11" s="30" t="n">
        <f aca="false">IF(OR(L6="",L9=""),"",L6-L9)</f>
        <v>6770.36307393</v>
      </c>
      <c r="M11" s="30" t="n">
        <f aca="false">IF(OR(M6="",M9=""),"",M6-M9)</f>
        <v>6723.57531093</v>
      </c>
      <c r="N11" s="30" t="n">
        <f aca="false">IF(OR(N6="",N9=""),"",N6-N9)</f>
        <v>6763.77175522</v>
      </c>
      <c r="O11" s="30" t="n">
        <f aca="false">IF(OR(O6="",O9=""),"",O6-O9)</f>
        <v>5818.11894891</v>
      </c>
      <c r="P11" s="30" t="n">
        <f aca="false">IF(OR(P6="",P9=""),"",P6-P9)</f>
        <v>6807.10326339</v>
      </c>
      <c r="Q11" s="30" t="n">
        <f aca="false">IF(OR(Q6="",Q9=""),"",Q6-Q9)</f>
        <v>8275.99501758</v>
      </c>
      <c r="R11" s="30" t="n">
        <f aca="false">IF(OR(R6="",R9=""),"",R6-R9)</f>
        <v>7960.82664408</v>
      </c>
      <c r="S11" s="30" t="str">
        <f aca="false">IF(OR(S6="",S9=""),"",S6-S9)</f>
        <v/>
      </c>
      <c r="T11" s="30" t="str">
        <f aca="false">IF(OR(T6="",T9=""),"",T6-T9)</f>
        <v/>
      </c>
      <c r="U11" s="30" t="str">
        <f aca="false">IF(OR(U6="",U9=""),"",U6-U9)</f>
        <v/>
      </c>
      <c r="V11" s="30" t="n">
        <f aca="false">IF(OR(V6="",V9=""),"",V6-V9)</f>
        <v>12423.3234141</v>
      </c>
      <c r="W11" s="30" t="str">
        <f aca="false">IF(OR(W6="",W9=""),"",W6-W9)</f>
        <v/>
      </c>
      <c r="X11" s="30" t="str">
        <f aca="false">IF(OR(X6="",X9=""),"",X6-X9)</f>
        <v/>
      </c>
      <c r="Y11" s="30" t="str">
        <f aca="false">IF(OR(Y6="",Y9=""),"",Y6-Y9)</f>
        <v/>
      </c>
      <c r="Z11" s="30" t="str">
        <f aca="false">IF(OR(Z6="",Z9=""),"",Z6-Z9)</f>
        <v/>
      </c>
      <c r="AA11" s="30" t="str">
        <f aca="false">IF(OR(AA6="",AA9=""),"",AA6-AA9)</f>
        <v/>
      </c>
      <c r="AB11" s="30" t="str">
        <f aca="false">IF(OR(AB6="",AB9=""),"",AB6-AB9)</f>
        <v/>
      </c>
    </row>
    <row r="12" customFormat="false" ht="15" hidden="false" customHeight="true" outlineLevel="0" collapsed="false">
      <c r="A12" s="18" t="s">
        <v>108</v>
      </c>
      <c r="B12" s="31" t="n">
        <f aca="false">IFERROR(IF(OR(B6="",B6=0,B11=""),"",B11/B6),"")</f>
        <v>0.338278337873074</v>
      </c>
      <c r="C12" s="31" t="n">
        <f aca="false">IFERROR(IF(OR(C6="",C6=0,C11=""),"",C11/C6),"")</f>
        <v>0.279983408343947</v>
      </c>
      <c r="D12" s="31" t="n">
        <f aca="false">IFERROR(IF(OR(D6="",D6=0,D11=""),"",D11/D6),"")</f>
        <v>0.267823347985951</v>
      </c>
      <c r="E12" s="31" t="n">
        <f aca="false">IFERROR(IF(OR(E6="",E6=0,E11=""),"",E11/E6),"")</f>
        <v>0.262621149657133</v>
      </c>
      <c r="F12" s="31" t="n">
        <f aca="false">IFERROR(IF(OR(F6="",F6=0,F11=""),"",F11/F6),"")</f>
        <v>0.165694328427607</v>
      </c>
      <c r="G12" s="31" t="n">
        <f aca="false">IFERROR(IF(OR(G6="",G6=0,G11=""),"",G11/G6),"")</f>
        <v>0.167851387955104</v>
      </c>
      <c r="H12" s="31" t="n">
        <f aca="false">IFERROR(IF(OR(H6="",H6=0,H11=""),"",H11/H6),"")</f>
        <v>0.161622880654618</v>
      </c>
      <c r="I12" s="31" t="n">
        <f aca="false">IFERROR(IF(OR(I6="",I6=0,I11=""),"",I11/I6),"")</f>
        <v>0.136123438378953</v>
      </c>
      <c r="J12" s="31" t="n">
        <f aca="false">IFERROR(IF(OR(J6="",J6=0,J11=""),"",J11/J6),"")</f>
        <v>0.17628135368819</v>
      </c>
      <c r="K12" s="31" t="n">
        <f aca="false">IFERROR(IF(OR(K6="",K6=0,K11=""),"",K11/K6),"")</f>
        <v>0.153129646496468</v>
      </c>
      <c r="L12" s="31" t="n">
        <f aca="false">IFERROR(IF(OR(L6="",L6=0,L11=""),"",L11/L6),"")</f>
        <v>0.133969005458167</v>
      </c>
      <c r="M12" s="31" t="n">
        <f aca="false">IFERROR(IF(OR(M6="",M6=0,M11=""),"",M11/M6),"")</f>
        <v>0.19508432924459</v>
      </c>
      <c r="N12" s="31" t="n">
        <f aca="false">IFERROR(IF(OR(N6="",N6=0,N11=""),"",N11/N6),"")</f>
        <v>0.157049205741014</v>
      </c>
      <c r="O12" s="31" t="n">
        <f aca="false">IFERROR(IF(OR(O6="",O6=0,O11=""),"",O11/O6),"")</f>
        <v>0.12163250585975</v>
      </c>
      <c r="P12" s="31" t="n">
        <f aca="false">IFERROR(IF(OR(P6="",P6=0,P11=""),"",P11/P6),"")</f>
        <v>0.127654667608627</v>
      </c>
      <c r="Q12" s="31" t="n">
        <f aca="false">IFERROR(IF(OR(Q6="",Q6=0,Q11=""),"",Q11/Q6),"")</f>
        <v>0.140250234746604</v>
      </c>
      <c r="R12" s="31" t="n">
        <f aca="false">IFERROR(IF(OR(R6="",R6=0,R11=""),"",R11/R6),"")</f>
        <v>0.147280439014029</v>
      </c>
      <c r="S12" s="31" t="str">
        <f aca="false">IFERROR(IF(OR(S6="",S6=0,S11=""),"",S11/S6),"")</f>
        <v/>
      </c>
      <c r="T12" s="31" t="str">
        <f aca="false">IFERROR(IF(OR(T6="",T6=0,T11=""),"",T11/T6),"")</f>
        <v/>
      </c>
      <c r="U12" s="31" t="str">
        <f aca="false">IFERROR(IF(OR(U6="",U6=0,U11=""),"",U11/U6),"")</f>
        <v/>
      </c>
      <c r="V12" s="31" t="n">
        <f aca="false">IFERROR(IF(OR(V6="",V6=0,V11=""),"",V11/V6),"")</f>
        <v>0.190355798281346</v>
      </c>
      <c r="W12" s="31" t="str">
        <f aca="false">IFERROR(IF(OR(W6="",W6=0,W11=""),"",W11/W6),"")</f>
        <v/>
      </c>
      <c r="X12" s="31" t="str">
        <f aca="false">IFERROR(IF(OR(X6="",X6=0,X11=""),"",X11/X6),"")</f>
        <v/>
      </c>
      <c r="Y12" s="31" t="str">
        <f aca="false">IFERROR(IF(OR(Y6="",Y6=0,Y11=""),"",Y11/Y6),"")</f>
        <v/>
      </c>
      <c r="Z12" s="31" t="str">
        <f aca="false">IFERROR(IF(OR(Z6="",Z6=0,Z11=""),"",Z11/Z6),"")</f>
        <v/>
      </c>
      <c r="AA12" s="31" t="str">
        <f aca="false">IFERROR(IF(OR(AA6="",AA6=0,AA11=""),"",AA11/AA6),"")</f>
        <v/>
      </c>
      <c r="AB12" s="31" t="str">
        <f aca="false">IFERROR(IF(OR(AB6="",AB6=0,AB11=""),"",AB11/AB6),"")</f>
        <v/>
      </c>
    </row>
    <row r="13" customFormat="false" ht="15" hidden="false" customHeight="true" outlineLevel="0" collapsed="false">
      <c r="A13" s="18" t="s">
        <v>130</v>
      </c>
      <c r="B13" s="29" t="n">
        <v>16084.98179937</v>
      </c>
      <c r="C13" s="29" t="n">
        <v>12296.96075078</v>
      </c>
      <c r="D13" s="29" t="n">
        <v>11824.92838216</v>
      </c>
      <c r="E13" s="29" t="n">
        <v>29425.47984788</v>
      </c>
      <c r="F13" s="29" t="n">
        <v>19838.56698532</v>
      </c>
      <c r="G13" s="29" t="n">
        <v>20389.18710156</v>
      </c>
      <c r="H13" s="29" t="n">
        <v>17965.674752</v>
      </c>
      <c r="I13" s="29" t="n">
        <v>16666.04383084</v>
      </c>
      <c r="J13" s="29" t="n">
        <v>5370.17180006</v>
      </c>
      <c r="K13" s="29" t="n">
        <v>5200.56536547</v>
      </c>
      <c r="L13" s="29" t="n">
        <v>3985.80540402</v>
      </c>
      <c r="M13" s="29" t="n">
        <v>3409.13218245</v>
      </c>
      <c r="N13" s="29" t="n">
        <v>4015.81848998</v>
      </c>
      <c r="O13" s="29" t="n">
        <v>3626.75734958</v>
      </c>
      <c r="P13" s="29" t="n">
        <v>4139.44239728</v>
      </c>
      <c r="Q13" s="29" t="n">
        <v>4884.025594</v>
      </c>
      <c r="R13" s="29" t="n">
        <v>5304.78129804</v>
      </c>
      <c r="S13" s="30" t="str">
        <f aca="false">IF(OR(S11="",S15=""),"",S11-S6*S15)</f>
        <v/>
      </c>
      <c r="T13" s="30" t="str">
        <f aca="false">IF(OR(T11="",T15=""),"",T11-T6*T15)</f>
        <v/>
      </c>
      <c r="U13" s="30" t="str">
        <f aca="false">IF(OR(U11="",U15=""),"",U11-U6*U15)</f>
        <v/>
      </c>
      <c r="V13" s="29" t="n">
        <v>8790.38594179</v>
      </c>
      <c r="W13" s="30" t="str">
        <f aca="false">IF(OR(W11="",W15=""),"",W11-W6*W15)</f>
        <v/>
      </c>
      <c r="X13" s="30" t="str">
        <f aca="false">IF(OR(X11="",X15=""),"",X11-X6*X15)</f>
        <v/>
      </c>
      <c r="Y13" s="30" t="str">
        <f aca="false">IF(OR(Y11="",Y15=""),"",Y11-Y6*Y15)</f>
        <v/>
      </c>
      <c r="Z13" s="30" t="str">
        <f aca="false">IF(OR(Z11="",Z15=""),"",Z11-Z6*Z15)</f>
        <v/>
      </c>
      <c r="AA13" s="30" t="str">
        <f aca="false">IF(OR(AA11="",AA15=""),"",AA11-AA6*AA15)</f>
        <v/>
      </c>
      <c r="AB13" s="30" t="str">
        <f aca="false">IF(OR(AB11="",AB15=""),"",AB11-AB6*AB15)</f>
        <v/>
      </c>
    </row>
    <row r="14" customFormat="false" ht="15" hidden="false" customHeight="true" outlineLevel="0" collapsed="false">
      <c r="A14" s="18" t="s">
        <v>131</v>
      </c>
      <c r="B14" s="30" t="n">
        <f aca="false">IF(OR(B11="",B13=""),"",B11-B13)</f>
        <v>4421.85475635</v>
      </c>
      <c r="C14" s="30" t="n">
        <f aca="false">IF(OR(C11="",C13=""),"",C11-C13)</f>
        <v>6756.09739815</v>
      </c>
      <c r="D14" s="30" t="n">
        <f aca="false">IF(OR(D11="",D13=""),"",D11-D13)</f>
        <v>7842.13508752999</v>
      </c>
      <c r="E14" s="30" t="n">
        <f aca="false">IF(OR(E11="",E13=""),"",E11-E13)</f>
        <v>8795.82913631999</v>
      </c>
      <c r="F14" s="30" t="n">
        <f aca="false">IF(OR(F11="",F13=""),"",F11-F13)</f>
        <v>7594.69475877001</v>
      </c>
      <c r="G14" s="30" t="n">
        <f aca="false">IF(OR(G11="",G13=""),"",G11-G13)</f>
        <v>9045.38934348</v>
      </c>
      <c r="H14" s="30" t="n">
        <f aca="false">IF(OR(H11="",H13=""),"",H11-H13)</f>
        <v>11460.86076504</v>
      </c>
      <c r="I14" s="30" t="n">
        <f aca="false">IF(OR(I11="",I13=""),"",I11-I13)</f>
        <v>10998.94515426</v>
      </c>
      <c r="J14" s="30" t="n">
        <f aca="false">IF(OR(J11="",J13=""),"",J11-J13)</f>
        <v>2767.15259491</v>
      </c>
      <c r="K14" s="30" t="n">
        <f aca="false">IF(OR(K11="",K13=""),"",K11-K13)</f>
        <v>2594.70737174</v>
      </c>
      <c r="L14" s="30" t="n">
        <f aca="false">IF(OR(L11="",L13=""),"",L11-L13)</f>
        <v>2784.55766991</v>
      </c>
      <c r="M14" s="30" t="n">
        <f aca="false">IF(OR(M11="",M13=""),"",M11-M13)</f>
        <v>3314.44312848</v>
      </c>
      <c r="N14" s="30" t="n">
        <f aca="false">IF(OR(N11="",N13=""),"",N11-N13)</f>
        <v>2747.95326524</v>
      </c>
      <c r="O14" s="30" t="n">
        <f aca="false">IF(OR(O11="",O13=""),"",O11-O13)</f>
        <v>2191.36159933</v>
      </c>
      <c r="P14" s="30" t="n">
        <f aca="false">IF(OR(P11="",P13=""),"",P11-P13)</f>
        <v>2667.66086611</v>
      </c>
      <c r="Q14" s="30" t="n">
        <f aca="false">IF(OR(Q11="",Q13=""),"",Q11-Q13)</f>
        <v>3391.96942358</v>
      </c>
      <c r="R14" s="30" t="n">
        <f aca="false">IF(OR(R11="",R13=""),"",R11-R13)</f>
        <v>2656.04534604</v>
      </c>
      <c r="S14" s="19"/>
      <c r="T14" s="19"/>
      <c r="U14" s="19"/>
      <c r="V14" s="30" t="n">
        <f aca="false">IF(OR(V11="",V13=""),"",V11-V13)</f>
        <v>3632.93747231</v>
      </c>
      <c r="W14" s="19"/>
      <c r="X14" s="19"/>
      <c r="Y14" s="19"/>
      <c r="Z14" s="19"/>
      <c r="AA14" s="19"/>
      <c r="AB14" s="19"/>
    </row>
    <row r="15" customFormat="false" ht="15" hidden="false" customHeight="true" outlineLevel="0" collapsed="false">
      <c r="A15" s="18" t="s">
        <v>76</v>
      </c>
      <c r="B15" s="31" t="n">
        <f aca="false">IFERROR(IF(OR(B6="",B6=0,B14=""),"",B14/B6),"")</f>
        <v>0.072942390369664</v>
      </c>
      <c r="C15" s="31" t="n">
        <f aca="false">IFERROR(IF(OR(C6="",C6=0,C14=""),"",C14/C6),"")</f>
        <v>0.0992803969762693</v>
      </c>
      <c r="D15" s="31" t="n">
        <f aca="false">IFERROR(IF(OR(D6="",D6=0,D14=""),"",D14/D6),"")</f>
        <v>0.106793110101937</v>
      </c>
      <c r="E15" s="31" t="n">
        <f aca="false">IFERROR(IF(OR(E6="",E6=0,E14=""),"",E14/E6),"")</f>
        <v>0.0604367255167259</v>
      </c>
      <c r="F15" s="31" t="n">
        <f aca="false">IFERROR(IF(OR(F6="",F6=0,F14=""),"",F14/F6),"")</f>
        <v>0.0458712441635986</v>
      </c>
      <c r="G15" s="31" t="n">
        <f aca="false">IFERROR(IF(OR(G6="",G6=0,G14=""),"",G14/G6),"")</f>
        <v>0.0515815526930497</v>
      </c>
      <c r="H15" s="31" t="n">
        <f aca="false">IFERROR(IF(OR(H6="",H6=0,H14=""),"",H14/H6),"")</f>
        <v>0.0629478563847457</v>
      </c>
      <c r="I15" s="31" t="n">
        <f aca="false">IFERROR(IF(OR(I6="",I6=0,I14=""),"",I14/I6),"")</f>
        <v>0.0541194588490809</v>
      </c>
      <c r="J15" s="31" t="n">
        <f aca="false">IFERROR(IF(OR(J6="",J6=0,J14=""),"",J14/J6),"")</f>
        <v>0.059945675214085</v>
      </c>
      <c r="K15" s="31" t="n">
        <f aca="false">IFERROR(IF(OR(K6="",K6=0,K14=""),"",K14/K6),"")</f>
        <v>0.0509702015555818</v>
      </c>
      <c r="L15" s="31" t="n">
        <f aca="false">IFERROR(IF(OR(L6="",L6=0,L14=""),"",L14/L6),"")</f>
        <v>0.0550996183816495</v>
      </c>
      <c r="M15" s="31" t="n">
        <f aca="false">IFERROR(IF(OR(M6="",M6=0,M14=""),"",M14/M6),"")</f>
        <v>0.0961684646393026</v>
      </c>
      <c r="N15" s="31" t="n">
        <f aca="false">IFERROR(IF(OR(N6="",N6=0,N14=""),"",N14/N6),"")</f>
        <v>0.0638052100717775</v>
      </c>
      <c r="O15" s="31" t="n">
        <f aca="false">IFERROR(IF(OR(O6="",O6=0,O14=""),"",O14/O6),"")</f>
        <v>0.0458121954727778</v>
      </c>
      <c r="P15" s="31" t="n">
        <f aca="false">IFERROR(IF(OR(P6="",P6=0,P14=""),"",P14/P6),"")</f>
        <v>0.0500270596726959</v>
      </c>
      <c r="Q15" s="31" t="n">
        <f aca="false">IFERROR(IF(OR(Q6="",Q6=0,Q14=""),"",Q14/Q6),"")</f>
        <v>0.0574824546051391</v>
      </c>
      <c r="R15" s="31" t="n">
        <f aca="false">IFERROR(IF(OR(R6="",R6=0,R14=""),"",R14/R6),"")</f>
        <v>0.0491385558429212</v>
      </c>
      <c r="S15" s="32" t="str">
        <f aca="false">IF(Assumptions!S29="","",Assumptions!S29)</f>
        <v/>
      </c>
      <c r="T15" s="32" t="str">
        <f aca="false">IF(Assumptions!T29="","",Assumptions!T29)</f>
        <v/>
      </c>
      <c r="U15" s="32" t="str">
        <f aca="false">IF(Assumptions!U29="","",Assumptions!U29)</f>
        <v/>
      </c>
      <c r="V15" s="31" t="n">
        <f aca="false">IFERROR(IF(OR(V6="",V6=0,V14=""),"",V14/V6),"")</f>
        <v>0.0556655163515183</v>
      </c>
      <c r="W15" s="32" t="str">
        <f aca="false">IF(Assumptions!W29="","",Assumptions!W29)</f>
        <v/>
      </c>
      <c r="X15" s="32" t="str">
        <f aca="false">IF(Assumptions!X29="","",Assumptions!X29)</f>
        <v/>
      </c>
      <c r="Y15" s="32" t="str">
        <f aca="false">IF(Assumptions!Y29="","",Assumptions!Y29)</f>
        <v/>
      </c>
      <c r="Z15" s="32" t="str">
        <f aca="false">IF(Assumptions!Z29="","",Assumptions!Z29)</f>
        <v/>
      </c>
      <c r="AA15" s="32" t="str">
        <f aca="false">IF(Assumptions!AA29="","",Assumptions!AA29)</f>
        <v/>
      </c>
      <c r="AB15" s="32" t="str">
        <f aca="false">IF(Assumptions!AB29="","",Assumptions!AB29)</f>
        <v/>
      </c>
    </row>
    <row r="16" customFormat="false" ht="15" hidden="false" customHeight="true" outlineLevel="0" collapsed="false">
      <c r="A16" s="18" t="s">
        <v>132</v>
      </c>
      <c r="B16" s="29" t="n">
        <v>10610.3798593</v>
      </c>
      <c r="C16" s="29" t="n">
        <v>10129.98509755</v>
      </c>
      <c r="D16" s="29" t="n">
        <v>10041.4280146</v>
      </c>
      <c r="E16" s="29" t="n">
        <v>24648.74812308</v>
      </c>
      <c r="F16" s="29" t="n">
        <v>16233.62602432</v>
      </c>
      <c r="G16" s="29" t="n">
        <v>16815.75553431</v>
      </c>
      <c r="H16" s="29" t="n">
        <v>13033.06661284</v>
      </c>
      <c r="I16" s="29" t="n">
        <v>12527.20109415</v>
      </c>
      <c r="J16" s="29" t="n">
        <v>4157.37917637</v>
      </c>
      <c r="K16" s="29" t="n">
        <v>4016.99338407</v>
      </c>
      <c r="L16" s="29" t="n">
        <v>2918.95158981</v>
      </c>
      <c r="M16" s="29" t="n">
        <v>1939.74246259</v>
      </c>
      <c r="N16" s="29" t="n">
        <v>3082.06620803</v>
      </c>
      <c r="O16" s="29" t="n">
        <v>3040.66340493</v>
      </c>
      <c r="P16" s="29" t="n">
        <v>3034.55869192</v>
      </c>
      <c r="Q16" s="29" t="n">
        <v>3369.91278927</v>
      </c>
      <c r="R16" s="29" t="n">
        <v>3717.70787393</v>
      </c>
      <c r="S16" s="30" t="str">
        <f aca="false">IF(OR(S13="",S17=""),"",S13*S17)</f>
        <v/>
      </c>
      <c r="T16" s="30" t="str">
        <f aca="false">IF(OR(T13="",T17=""),"",T13*T17)</f>
        <v/>
      </c>
      <c r="U16" s="30" t="str">
        <f aca="false">IF(OR(U13="",U17=""),"",U13*U17)</f>
        <v/>
      </c>
      <c r="V16" s="29" t="n">
        <v>6345.25567088</v>
      </c>
      <c r="W16" s="30" t="str">
        <f aca="false">IF(OR(W13="",W17=""),"",W13*W17)</f>
        <v/>
      </c>
      <c r="X16" s="30" t="str">
        <f aca="false">IF(OR(X13="",X17=""),"",X13*X17)</f>
        <v/>
      </c>
      <c r="Y16" s="30" t="str">
        <f aca="false">IF(OR(Y13="",Y17=""),"",Y13*Y17)</f>
        <v/>
      </c>
      <c r="Z16" s="30" t="str">
        <f aca="false">IF(OR(Z13="",Z17=""),"",Z13*Z17)</f>
        <v/>
      </c>
      <c r="AA16" s="30" t="str">
        <f aca="false">IF(OR(AA13="",AA17=""),"",AA13*AA17)</f>
        <v/>
      </c>
      <c r="AB16" s="30" t="str">
        <f aca="false">IF(OR(AB13="",AB17=""),"",AB13*AB17)</f>
        <v/>
      </c>
    </row>
    <row r="17" customFormat="false" ht="15" hidden="false" customHeight="true" outlineLevel="0" collapsed="false">
      <c r="A17" s="18" t="s">
        <v>77</v>
      </c>
      <c r="B17" s="31" t="n">
        <f aca="false">IFERROR(IF(OR(B13="",B13=0,B16=""),"",B16/B13),"")</f>
        <v>0.659645126842206</v>
      </c>
      <c r="C17" s="31" t="n">
        <f aca="false">IFERROR(IF(OR(C13="",C13=0,C16=""),"",C16/C13),"")</f>
        <v>0.823779574713813</v>
      </c>
      <c r="D17" s="31" t="n">
        <f aca="false">IFERROR(IF(OR(D13="",D13=0,D16=""),"",D16/D13),"")</f>
        <v>0.849174531132829</v>
      </c>
      <c r="E17" s="31" t="n">
        <f aca="false">IFERROR(IF(OR(E13="",E13=0,E16=""),"",E16/E13),"")</f>
        <v>0.837666819725825</v>
      </c>
      <c r="F17" s="31" t="n">
        <f aca="false">IFERROR(IF(OR(F13="",F13=0,F16=""),"",F16/F13),"")</f>
        <v>0.818286221798804</v>
      </c>
      <c r="G17" s="31" t="n">
        <f aca="false">IFERROR(IF(OR(G13="",G13=0,G16=""),"",G16/G13),"")</f>
        <v>0.824738889812013</v>
      </c>
      <c r="H17" s="31" t="n">
        <f aca="false">IFERROR(IF(OR(H13="",H13=0,H16=""),"",H16/H13),"")</f>
        <v>0.725442645085686</v>
      </c>
      <c r="I17" s="31" t="n">
        <f aca="false">IFERROR(IF(OR(I13="",I13=0,I16=""),"",I16/I13),"")</f>
        <v>0.751660155301452</v>
      </c>
      <c r="J17" s="31" t="n">
        <f aca="false">IFERROR(IF(OR(J13="",J13=0,J16=""),"",J16/J13),"")</f>
        <v>0.774161298959477</v>
      </c>
      <c r="K17" s="31" t="n">
        <f aca="false">IFERROR(IF(OR(K13="",K13=0,K16=""),"",K16/K13),"")</f>
        <v>0.77241474758523</v>
      </c>
      <c r="L17" s="31" t="n">
        <f aca="false">IFERROR(IF(OR(L13="",L13=0,L16=""),"",L16/L13),"")</f>
        <v>0.732336703358876</v>
      </c>
      <c r="M17" s="31" t="n">
        <f aca="false">IFERROR(IF(OR(M13="",M13=0,M16=""),"",M16/M13),"")</f>
        <v>0.568984233751825</v>
      </c>
      <c r="N17" s="31" t="n">
        <f aca="false">IFERROR(IF(OR(N13="",N13=0,N16=""),"",N16/N13),"")</f>
        <v>0.76748145259059</v>
      </c>
      <c r="O17" s="31" t="n">
        <f aca="false">IFERROR(IF(OR(O13="",O13=0,O16=""),"",O16/O13),"")</f>
        <v>0.83839725458394</v>
      </c>
      <c r="P17" s="31" t="n">
        <f aca="false">IFERROR(IF(OR(P13="",P13=0,P16=""),"",P16/P13),"")</f>
        <v>0.733083927901494</v>
      </c>
      <c r="Q17" s="31" t="n">
        <f aca="false">IFERROR(IF(OR(Q13="",Q13=0,Q16=""),"",Q16/Q13),"")</f>
        <v>0.689986717803019</v>
      </c>
      <c r="R17" s="31" t="n">
        <f aca="false">IFERROR(IF(OR(R13="",R13=0,R16=""),"",R16/R13),"")</f>
        <v>0.700822082015636</v>
      </c>
      <c r="S17" s="32" t="str">
        <f aca="false">IF(Assumptions!S30="","",Assumptions!S30)</f>
        <v/>
      </c>
      <c r="T17" s="32" t="str">
        <f aca="false">IF(Assumptions!T30="","",Assumptions!T30)</f>
        <v/>
      </c>
      <c r="U17" s="32" t="str">
        <f aca="false">IF(Assumptions!U30="","",Assumptions!U30)</f>
        <v/>
      </c>
      <c r="V17" s="31" t="n">
        <f aca="false">IFERROR(IF(OR(V13="",V13=0,V16=""),"",V16/V13),"")</f>
        <v>0.721840396189465</v>
      </c>
      <c r="W17" s="32" t="str">
        <f aca="false">IF(Assumptions!W30="","",Assumptions!W30)</f>
        <v/>
      </c>
      <c r="X17" s="32" t="str">
        <f aca="false">IF(Assumptions!X30="","",Assumptions!X30)</f>
        <v/>
      </c>
      <c r="Y17" s="32" t="str">
        <f aca="false">IF(Assumptions!Y30="","",Assumptions!Y30)</f>
        <v/>
      </c>
      <c r="Z17" s="32" t="str">
        <f aca="false">IF(Assumptions!Z30="","",Assumptions!Z30)</f>
        <v/>
      </c>
      <c r="AA17" s="32" t="str">
        <f aca="false">IF(Assumptions!AA30="","",Assumptions!AA30)</f>
        <v/>
      </c>
      <c r="AB17" s="32" t="str">
        <f aca="false">IF(Assumptions!AB30="","",Assumptions!AB30)</f>
        <v/>
      </c>
    </row>
  </sheetData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50.95"/>
    <col collapsed="false" customWidth="true" hidden="false" outlineLevel="0" max="28" min="2" style="1" width="11.83"/>
  </cols>
  <sheetData>
    <row r="1" customFormat="false" ht="18" hidden="false" customHeight="true" outlineLevel="0" collapsed="false">
      <c r="A1" s="13" t="s">
        <v>133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customFormat="false" ht="15" hidden="false" customHeight="true" outlineLevel="0" collapsed="false">
      <c r="A2" s="3" t="s">
        <v>134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4" customFormat="false" ht="15" hidden="false" customHeight="true" outlineLevel="0" collapsed="false">
      <c r="A4" s="14" t="s">
        <v>36</v>
      </c>
      <c r="B4" s="14" t="s">
        <v>37</v>
      </c>
      <c r="C4" s="14" t="s">
        <v>38</v>
      </c>
      <c r="D4" s="14" t="s">
        <v>39</v>
      </c>
      <c r="E4" s="14" t="s">
        <v>40</v>
      </c>
      <c r="F4" s="14" t="s">
        <v>41</v>
      </c>
      <c r="G4" s="14" t="s">
        <v>42</v>
      </c>
      <c r="H4" s="14" t="s">
        <v>43</v>
      </c>
      <c r="I4" s="14" t="s">
        <v>44</v>
      </c>
      <c r="J4" s="15" t="s">
        <v>45</v>
      </c>
      <c r="K4" s="15" t="s">
        <v>46</v>
      </c>
      <c r="L4" s="15" t="s">
        <v>47</v>
      </c>
      <c r="M4" s="15" t="s">
        <v>48</v>
      </c>
      <c r="N4" s="15" t="s">
        <v>49</v>
      </c>
      <c r="O4" s="15" t="s">
        <v>50</v>
      </c>
      <c r="P4" s="15" t="s">
        <v>51</v>
      </c>
      <c r="Q4" s="15" t="s">
        <v>52</v>
      </c>
      <c r="R4" s="15" t="s">
        <v>53</v>
      </c>
      <c r="S4" s="16" t="s">
        <v>54</v>
      </c>
      <c r="T4" s="16" t="s">
        <v>55</v>
      </c>
      <c r="U4" s="16" t="s">
        <v>56</v>
      </c>
      <c r="V4" s="15" t="s">
        <v>57</v>
      </c>
      <c r="W4" s="16" t="s">
        <v>58</v>
      </c>
      <c r="X4" s="16" t="s">
        <v>59</v>
      </c>
      <c r="Y4" s="16" t="s">
        <v>60</v>
      </c>
      <c r="Z4" s="16" t="s">
        <v>61</v>
      </c>
      <c r="AA4" s="16" t="s">
        <v>62</v>
      </c>
      <c r="AB4" s="16" t="s">
        <v>63</v>
      </c>
    </row>
    <row r="5" customFormat="false" ht="15" hidden="false" customHeight="true" outlineLevel="0" collapsed="false">
      <c r="A5" s="18" t="s">
        <v>135</v>
      </c>
      <c r="B5" s="29" t="n">
        <v>19257.49442946</v>
      </c>
      <c r="C5" s="29" t="n">
        <v>25932.94120065</v>
      </c>
      <c r="D5" s="29" t="n">
        <v>16849.70599071</v>
      </c>
      <c r="E5" s="29" t="n">
        <v>27922.29218474</v>
      </c>
      <c r="F5" s="29" t="n">
        <v>36336.82492033</v>
      </c>
      <c r="G5" s="29" t="n">
        <v>26796.75255251</v>
      </c>
      <c r="H5" s="29" t="n">
        <v>30053.43517833</v>
      </c>
      <c r="I5" s="29" t="n">
        <v>33105.18945582</v>
      </c>
      <c r="J5" s="29" t="n">
        <v>3083.66368861</v>
      </c>
      <c r="K5" s="29" t="n">
        <v>7207.60842773</v>
      </c>
      <c r="L5" s="29" t="n">
        <v>9014.20750186</v>
      </c>
      <c r="M5" s="29" t="n">
        <v>10747.95556013</v>
      </c>
      <c r="N5" s="29" t="n">
        <v>581.15850958</v>
      </c>
      <c r="O5" s="29" t="n">
        <v>9946.94546125</v>
      </c>
      <c r="P5" s="29" t="n">
        <v>6493.47070086</v>
      </c>
      <c r="Q5" s="29" t="n">
        <v>16083.61478413</v>
      </c>
      <c r="R5" s="29" t="n">
        <v>6856.91719089</v>
      </c>
      <c r="S5" s="33" t="str">
        <f aca="false">IF('Consol P&amp;L'!S16="","",'Consol P&amp;L'!S16*IFERROR(I8,1))</f>
        <v/>
      </c>
      <c r="T5" s="33" t="str">
        <f aca="false">IF('Consol P&amp;L'!T16="","",'Consol P&amp;L'!T16*IFERROR(I8,1))</f>
        <v/>
      </c>
      <c r="U5" s="33" t="str">
        <f aca="false">IF('Consol P&amp;L'!U16="","",'Consol P&amp;L'!U16*IFERROR(I8,1))</f>
        <v/>
      </c>
      <c r="V5" s="29" t="n">
        <v>4927.22384981</v>
      </c>
      <c r="W5" s="33" t="str">
        <f aca="false">IF('Consol P&amp;L'!W16="","",'Consol P&amp;L'!W16*IFERROR(R8,1))</f>
        <v/>
      </c>
      <c r="X5" s="33" t="str">
        <f aca="false">IF('Consol P&amp;L'!X16="","",'Consol P&amp;L'!X16*IFERROR(R8,1))</f>
        <v/>
      </c>
      <c r="Y5" s="33" t="str">
        <f aca="false">IF('Consol P&amp;L'!Y16="","",'Consol P&amp;L'!Y16*IFERROR(R8,1))</f>
        <v/>
      </c>
      <c r="Z5" s="33" t="str">
        <f aca="false">IF('Consol P&amp;L'!Z16="","",'Consol P&amp;L'!Z16*IFERROR(R8,1))</f>
        <v/>
      </c>
      <c r="AA5" s="33" t="str">
        <f aca="false">IF('Consol P&amp;L'!AA16="","",'Consol P&amp;L'!AA16*IFERROR(R8,1))</f>
        <v/>
      </c>
      <c r="AB5" s="33" t="str">
        <f aca="false">IF('Consol P&amp;L'!AB16="","",'Consol P&amp;L'!AB16*IFERROR(R8,1))</f>
        <v/>
      </c>
    </row>
    <row r="6" customFormat="false" ht="15" hidden="false" customHeight="true" outlineLevel="0" collapsed="false">
      <c r="A6" s="18" t="s">
        <v>136</v>
      </c>
      <c r="B6" s="29" t="n">
        <v>10279.01002835</v>
      </c>
      <c r="C6" s="29" t="n">
        <v>17814.81458017</v>
      </c>
      <c r="D6" s="29" t="n">
        <v>23235.68243919</v>
      </c>
      <c r="E6" s="29" t="n">
        <v>26999.58288659</v>
      </c>
      <c r="F6" s="29" t="n">
        <v>32656.55262592</v>
      </c>
      <c r="G6" s="29" t="n">
        <v>43098.41531953</v>
      </c>
      <c r="H6" s="29" t="n">
        <v>35830.12477382</v>
      </c>
      <c r="I6" s="29" t="n">
        <v>30711.20121189</v>
      </c>
      <c r="J6" s="29" t="n">
        <v>11092.10870537</v>
      </c>
      <c r="K6" s="29" t="n">
        <v>8973.35927201</v>
      </c>
      <c r="L6" s="29" t="n">
        <v>9688.75140543</v>
      </c>
      <c r="M6" s="29" t="n">
        <v>6075.90539100999</v>
      </c>
      <c r="N6" s="29" t="n">
        <v>9088.49260283</v>
      </c>
      <c r="O6" s="29" t="n">
        <v>7941.41897863</v>
      </c>
      <c r="P6" s="29" t="n">
        <v>6722.62357691</v>
      </c>
      <c r="Q6" s="29" t="n">
        <v>6958.66605352</v>
      </c>
      <c r="R6" s="29" t="n">
        <v>5030.13130675</v>
      </c>
      <c r="S6" s="33" t="str">
        <f aca="false">IF(OR('Consol P&amp;L'!S6="",Assumptions!S31=""),"",'Consol P&amp;L'!S6*Assumptions!S31)</f>
        <v/>
      </c>
      <c r="T6" s="33" t="str">
        <f aca="false">IF(OR('Consol P&amp;L'!T6="",Assumptions!T31=""),"",'Consol P&amp;L'!T6*Assumptions!T31)</f>
        <v/>
      </c>
      <c r="U6" s="33" t="str">
        <f aca="false">IF(OR('Consol P&amp;L'!U6="",Assumptions!U31=""),"",'Consol P&amp;L'!U6*Assumptions!U31)</f>
        <v/>
      </c>
      <c r="V6" s="29" t="n">
        <v>5709.75982911</v>
      </c>
      <c r="W6" s="33" t="str">
        <f aca="false">IF(OR('Consol P&amp;L'!W6="",Assumptions!W31=""),"",'Consol P&amp;L'!W6*Assumptions!W31)</f>
        <v/>
      </c>
      <c r="X6" s="33" t="str">
        <f aca="false">IF(OR('Consol P&amp;L'!X6="",Assumptions!X31=""),"",'Consol P&amp;L'!X6*Assumptions!X31)</f>
        <v/>
      </c>
      <c r="Y6" s="33" t="str">
        <f aca="false">IF(OR('Consol P&amp;L'!Y6="",Assumptions!Y31=""),"",'Consol P&amp;L'!Y6*Assumptions!Y31)</f>
        <v/>
      </c>
      <c r="Z6" s="33" t="str">
        <f aca="false">IF(OR('Consol P&amp;L'!Z6="",Assumptions!Z31=""),"",'Consol P&amp;L'!Z6*Assumptions!Z31)</f>
        <v/>
      </c>
      <c r="AA6" s="33" t="str">
        <f aca="false">IF(OR('Consol P&amp;L'!AA6="",Assumptions!AA31=""),"",'Consol P&amp;L'!AA6*Assumptions!AA31)</f>
        <v/>
      </c>
      <c r="AB6" s="33" t="str">
        <f aca="false">IF(OR('Consol P&amp;L'!AB6="",Assumptions!AB31=""),"",'Consol P&amp;L'!AB6*Assumptions!AB31)</f>
        <v/>
      </c>
    </row>
    <row r="7" customFormat="false" ht="15" hidden="false" customHeight="true" outlineLevel="0" collapsed="false">
      <c r="A7" s="18" t="s">
        <v>137</v>
      </c>
      <c r="B7" s="30" t="n">
        <f aca="false">IF(OR(B5="",B6=""),"",B5-B6)</f>
        <v>8978.48440111</v>
      </c>
      <c r="C7" s="30" t="n">
        <f aca="false">IF(OR(C5="",C6=""),"",C5-C6)</f>
        <v>8118.12662048</v>
      </c>
      <c r="D7" s="30" t="n">
        <f aca="false">IF(OR(D5="",D6=""),"",D5-D6)</f>
        <v>-6385.97644848</v>
      </c>
      <c r="E7" s="30" t="n">
        <f aca="false">IF(OR(E5="",E6=""),"",E5-E6)</f>
        <v>922.709298149999</v>
      </c>
      <c r="F7" s="30" t="n">
        <f aca="false">IF(OR(F5="",F6=""),"",F5-F6)</f>
        <v>3680.27229441</v>
      </c>
      <c r="G7" s="30" t="n">
        <f aca="false">IF(OR(G5="",G6=""),"",G5-G6)</f>
        <v>-16301.66276702</v>
      </c>
      <c r="H7" s="30" t="n">
        <f aca="false">IF(OR(H5="",H6=""),"",H5-H6)</f>
        <v>-5776.68959549</v>
      </c>
      <c r="I7" s="30" t="n">
        <f aca="false">IF(OR(I5="",I6=""),"",I5-I6)</f>
        <v>2393.98824393</v>
      </c>
      <c r="J7" s="30" t="n">
        <f aca="false">IF(OR(J5="",J6=""),"",J5-J6)</f>
        <v>-8008.44501676</v>
      </c>
      <c r="K7" s="30" t="n">
        <f aca="false">IF(OR(K5="",K6=""),"",K5-K6)</f>
        <v>-1765.75084428</v>
      </c>
      <c r="L7" s="30" t="n">
        <f aca="false">IF(OR(L5="",L6=""),"",L5-L6)</f>
        <v>-674.54390357</v>
      </c>
      <c r="M7" s="30" t="n">
        <f aca="false">IF(OR(M5="",M6=""),"",M5-M6)</f>
        <v>4672.05016912001</v>
      </c>
      <c r="N7" s="30" t="n">
        <f aca="false">IF(OR(N5="",N6=""),"",N5-N6)</f>
        <v>-8507.33409325</v>
      </c>
      <c r="O7" s="30" t="n">
        <f aca="false">IF(OR(O5="",O6=""),"",O5-O6)</f>
        <v>2005.52648262</v>
      </c>
      <c r="P7" s="30" t="n">
        <f aca="false">IF(OR(P5="",P6=""),"",P5-P6)</f>
        <v>-229.152876050001</v>
      </c>
      <c r="Q7" s="30" t="n">
        <f aca="false">IF(OR(Q5="",Q6=""),"",Q5-Q6)</f>
        <v>9124.94873061</v>
      </c>
      <c r="R7" s="30" t="n">
        <f aca="false">IF(OR(R5="",R6=""),"",R5-R6)</f>
        <v>1826.78588414</v>
      </c>
      <c r="S7" s="30" t="str">
        <f aca="false">IF(OR(S5="",S6=""),"",S5-S6)</f>
        <v/>
      </c>
      <c r="T7" s="30" t="str">
        <f aca="false">IF(OR(T5="",T6=""),"",T5-T6)</f>
        <v/>
      </c>
      <c r="U7" s="30" t="str">
        <f aca="false">IF(OR(U5="",U6=""),"",U5-U6)</f>
        <v/>
      </c>
      <c r="V7" s="30" t="n">
        <f aca="false">IF(OR(V5="",V6=""),"",V5-V6)</f>
        <v>-782.535979300001</v>
      </c>
      <c r="W7" s="30" t="str">
        <f aca="false">IF(OR(W5="",W6=""),"",W5-W6)</f>
        <v/>
      </c>
      <c r="X7" s="30" t="str">
        <f aca="false">IF(OR(X5="",X6=""),"",X5-X6)</f>
        <v/>
      </c>
      <c r="Y7" s="30" t="str">
        <f aca="false">IF(OR(Y5="",Y6=""),"",Y5-Y6)</f>
        <v/>
      </c>
      <c r="Z7" s="30" t="str">
        <f aca="false">IF(OR(Z5="",Z6=""),"",Z5-Z6)</f>
        <v/>
      </c>
      <c r="AA7" s="30" t="str">
        <f aca="false">IF(OR(AA5="",AA6=""),"",AA5-AA6)</f>
        <v/>
      </c>
      <c r="AB7" s="30" t="str">
        <f aca="false">IF(OR(AB5="",AB6=""),"",AB5-AB6)</f>
        <v/>
      </c>
    </row>
    <row r="8" customFormat="false" ht="15" hidden="false" customHeight="true" outlineLevel="0" collapsed="false">
      <c r="A8" s="18" t="s">
        <v>138</v>
      </c>
      <c r="B8" s="35" t="n">
        <f aca="false">IFERROR(IF(OR(B5="",'Consol P&amp;L'!B16="",'Consol P&amp;L'!B16=0),"",B5/'Consol P&amp;L'!B16),"")</f>
        <v>1.81496748324056</v>
      </c>
      <c r="C8" s="35" t="n">
        <f aca="false">IFERROR(IF(OR(C5="",'Consol P&amp;L'!C16="",'Consol P&amp;L'!C16=0),"",C5/'Consol P&amp;L'!C16),"")</f>
        <v>2.56001770495418</v>
      </c>
      <c r="D8" s="35" t="n">
        <f aca="false">IFERROR(IF(OR(D5="",'Consol P&amp;L'!D16="",'Consol P&amp;L'!D16=0),"",D5/'Consol P&amp;L'!D16),"")</f>
        <v>1.67801889992249</v>
      </c>
      <c r="E8" s="35" t="n">
        <f aca="false">IFERROR(IF(OR(E5="",'Consol P&amp;L'!E16="",'Consol P&amp;L'!E16=0),"",E5/'Consol P&amp;L'!E16),"")</f>
        <v>1.13280772091605</v>
      </c>
      <c r="F8" s="35" t="n">
        <f aca="false">IFERROR(IF(OR(F5="",'Consol P&amp;L'!F16="",'Consol P&amp;L'!F16=0),"",F5/'Consol P&amp;L'!F16),"")</f>
        <v>2.23836774765495</v>
      </c>
      <c r="G8" s="35" t="n">
        <f aca="false">IFERROR(IF(OR(G5="",'Consol P&amp;L'!G16="",'Consol P&amp;L'!G16=0),"",G5/'Consol P&amp;L'!G16),"")</f>
        <v>1.59355031641815</v>
      </c>
      <c r="H8" s="35" t="n">
        <f aca="false">IFERROR(IF(OR(H5="",'Consol P&amp;L'!H16="",'Consol P&amp;L'!H16=0),"",H5/'Consol P&amp;L'!H16),"")</f>
        <v>2.30593735696262</v>
      </c>
      <c r="I8" s="35" t="n">
        <f aca="false">IFERROR(IF(OR(I5="",'Consol P&amp;L'!I16="",'Consol P&amp;L'!I16=0),"",I5/'Consol P&amp;L'!I16),"")</f>
        <v>2.64266448722369</v>
      </c>
      <c r="J8" s="35" t="n">
        <f aca="false">IFERROR(IF(OR(J5="",'Consol P&amp;L'!J16="",'Consol P&amp;L'!J16=0),"",J5/'Consol P&amp;L'!J16),"")</f>
        <v>0.74173260551675</v>
      </c>
      <c r="K8" s="35" t="n">
        <f aca="false">IFERROR(IF(OR(K5="",'Consol P&amp;L'!K16="",'Consol P&amp;L'!K16=0),"",K5/'Consol P&amp;L'!K16),"")</f>
        <v>1.79427938724342</v>
      </c>
      <c r="L8" s="35" t="n">
        <f aca="false">IFERROR(IF(OR(L5="",'Consol P&amp;L'!L16="",'Consol P&amp;L'!L16=0),"",L5/'Consol P&amp;L'!L16),"")</f>
        <v>3.0881661529874</v>
      </c>
      <c r="M8" s="35" t="n">
        <f aca="false">IFERROR(IF(OR(M5="",'Consol P&amp;L'!M16="",'Consol P&amp;L'!M16=0),"",M5/'Consol P&amp;L'!M16),"")</f>
        <v>5.54091884227714</v>
      </c>
      <c r="N8" s="35" t="n">
        <f aca="false">IFERROR(IF(OR(N5="",'Consol P&amp;L'!N16="",'Consol P&amp;L'!N16=0),"",N5/'Consol P&amp;L'!N16),"")</f>
        <v>0.1885613320265</v>
      </c>
      <c r="O8" s="35" t="n">
        <f aca="false">IFERROR(IF(OR(O5="",'Consol P&amp;L'!O16="",'Consol P&amp;L'!O16=0),"",O5/'Consol P&amp;L'!O16),"")</f>
        <v>3.27130765119298</v>
      </c>
      <c r="P8" s="35" t="n">
        <f aca="false">IFERROR(IF(OR(P5="",'Consol P&amp;L'!P16="",'Consol P&amp;L'!P16=0),"",P5/'Consol P&amp;L'!P16),"")</f>
        <v>2.13984020745748</v>
      </c>
      <c r="Q8" s="35" t="n">
        <f aca="false">IFERROR(IF(OR(Q5="",'Consol P&amp;L'!Q16="",'Consol P&amp;L'!Q16=0),"",Q5/'Consol P&amp;L'!Q16),"")</f>
        <v>4.77270950018089</v>
      </c>
      <c r="R8" s="35" t="n">
        <f aca="false">IFERROR(IF(OR(R5="",'Consol P&amp;L'!R16="",'Consol P&amp;L'!R16=0),"",R5/'Consol P&amp;L'!R16),"")</f>
        <v>1.84439375642539</v>
      </c>
      <c r="S8" s="35" t="str">
        <f aca="false">IFERROR(IF(OR(S5="",'Consol P&amp;L'!S16="",'Consol P&amp;L'!S16=0),"",S5/'Consol P&amp;L'!S16),"")</f>
        <v/>
      </c>
      <c r="T8" s="35" t="str">
        <f aca="false">IFERROR(IF(OR(T5="",'Consol P&amp;L'!T16="",'Consol P&amp;L'!T16=0),"",T5/'Consol P&amp;L'!T16),"")</f>
        <v/>
      </c>
      <c r="U8" s="35" t="str">
        <f aca="false">IFERROR(IF(OR(U5="",'Consol P&amp;L'!U16="",'Consol P&amp;L'!U16=0),"",U5/'Consol P&amp;L'!U16),"")</f>
        <v/>
      </c>
      <c r="V8" s="35" t="n">
        <f aca="false">IFERROR(IF(OR(V5="",'Consol P&amp;L'!V16="",'Consol P&amp;L'!V16=0),"",V5/'Consol P&amp;L'!V16),"")</f>
        <v>0.77652093239084</v>
      </c>
      <c r="W8" s="35" t="str">
        <f aca="false">IFERROR(IF(OR(W5="",'Consol P&amp;L'!W16="",'Consol P&amp;L'!W16=0),"",W5/'Consol P&amp;L'!W16),"")</f>
        <v/>
      </c>
      <c r="X8" s="35" t="str">
        <f aca="false">IFERROR(IF(OR(X5="",'Consol P&amp;L'!X16="",'Consol P&amp;L'!X16=0),"",X5/'Consol P&amp;L'!X16),"")</f>
        <v/>
      </c>
      <c r="Y8" s="35" t="str">
        <f aca="false">IFERROR(IF(OR(Y5="",'Consol P&amp;L'!Y16="",'Consol P&amp;L'!Y16=0),"",Y5/'Consol P&amp;L'!Y16),"")</f>
        <v/>
      </c>
      <c r="Z8" s="35" t="str">
        <f aca="false">IFERROR(IF(OR(Z5="",'Consol P&amp;L'!Z16="",'Consol P&amp;L'!Z16=0),"",Z5/'Consol P&amp;L'!Z16),"")</f>
        <v/>
      </c>
      <c r="AA8" s="35" t="str">
        <f aca="false">IFERROR(IF(OR(AA5="",'Consol P&amp;L'!AA16="",'Consol P&amp;L'!AA16=0),"",AA5/'Consol P&amp;L'!AA16),"")</f>
        <v/>
      </c>
      <c r="AB8" s="35" t="str">
        <f aca="false">IFERROR(IF(OR(AB5="",'Consol P&amp;L'!AB16="",'Consol P&amp;L'!AB16=0),"",AB5/'Consol P&amp;L'!AB16),"")</f>
        <v/>
      </c>
    </row>
    <row r="9" customFormat="false" ht="15" hidden="false" customHeight="true" outlineLevel="0" collapsed="false">
      <c r="A9" s="18" t="s">
        <v>139</v>
      </c>
      <c r="B9" s="32" t="n">
        <f aca="false">IFERROR(IF(OR(B6="",'Consol P&amp;L'!B6="",'Consol P&amp;L'!B6=0),"",B6/'Consol P&amp;L'!B6),"")</f>
        <v>0.169561327410151</v>
      </c>
      <c r="C9" s="32" t="n">
        <f aca="false">IFERROR(IF(OR(C6="",'Consol P&amp;L'!C6="",'Consol P&amp;L'!C6=0),"",C6/'Consol P&amp;L'!C6),"")</f>
        <v>0.261787502362268</v>
      </c>
      <c r="D9" s="32" t="n">
        <f aca="false">IFERROR(IF(OR(D6="",'Consol P&amp;L'!D6="",'Consol P&amp;L'!D6=0),"",D6/'Consol P&amp;L'!D6),"")</f>
        <v>0.316420307139036</v>
      </c>
      <c r="E9" s="32" t="n">
        <f aca="false">IFERROR(IF(OR(E6="",'Consol P&amp;L'!E6="",'Consol P&amp;L'!E6=0),"",E6/'Consol P&amp;L'!E6),"")</f>
        <v>0.185515925183789</v>
      </c>
      <c r="F9" s="32" t="n">
        <f aca="false">IFERROR(IF(OR(F6="",'Consol P&amp;L'!F6="",'Consol P&amp;L'!F6=0),"",F6/'Consol P&amp;L'!F6),"")</f>
        <v>0.197242515548787</v>
      </c>
      <c r="G9" s="32" t="n">
        <f aca="false">IFERROR(IF(OR(G6="",'Consol P&amp;L'!G6="",'Consol P&amp;L'!G6=0),"",G6/'Consol P&amp;L'!G6),"")</f>
        <v>0.245769761408191</v>
      </c>
      <c r="H9" s="32" t="n">
        <f aca="false">IFERROR(IF(OR(H6="",'Consol P&amp;L'!H6="",'Consol P&amp;L'!H6=0),"",H6/'Consol P&amp;L'!H6),"")</f>
        <v>0.19679407984694</v>
      </c>
      <c r="I9" s="32" t="n">
        <f aca="false">IFERROR(IF(OR(I6="",'Consol P&amp;L'!I6="",'Consol P&amp;L'!I6=0),"",I6/'Consol P&amp;L'!I6),"")</f>
        <v>0.151112090012467</v>
      </c>
      <c r="J9" s="32" t="n">
        <f aca="false">IFERROR(IF(OR(J6="",'Consol P&amp;L'!J6="",'Consol P&amp;L'!J6=0),"",J6/'Consol P&amp;L'!J6),"")</f>
        <v>0.240291752292417</v>
      </c>
      <c r="K9" s="32" t="n">
        <f aca="false">IFERROR(IF(OR(K6="",'Consol P&amp;L'!K6="",'Consol P&amp;L'!K6=0),"",K6/'Consol P&amp;L'!K6),"")</f>
        <v>0.176271873933239</v>
      </c>
      <c r="L9" s="32" t="n">
        <f aca="false">IFERROR(IF(OR(L6="",'Consol P&amp;L'!L6="",'Consol P&amp;L'!L6=0),"",L6/'Consol P&amp;L'!L6),"")</f>
        <v>0.191716806874795</v>
      </c>
      <c r="M9" s="32" t="n">
        <f aca="false">IFERROR(IF(OR(M6="",'Consol P&amp;L'!M6="",'Consol P&amp;L'!M6=0),"",M6/'Consol P&amp;L'!M6),"")</f>
        <v>0.176292206593105</v>
      </c>
      <c r="N9" s="32" t="n">
        <f aca="false">IFERROR(IF(OR(N6="",'Consol P&amp;L'!N6="",'Consol P&amp;L'!N6=0),"",N6/'Consol P&amp;L'!N6),"")</f>
        <v>0.211027307885718</v>
      </c>
      <c r="O9" s="32" t="n">
        <f aca="false">IFERROR(IF(OR(O6="",'Consol P&amp;L'!O6="",'Consol P&amp;L'!O6=0),"",O6/'Consol P&amp;L'!O6),"")</f>
        <v>0.166021818896279</v>
      </c>
      <c r="P9" s="32" t="n">
        <f aca="false">IFERROR(IF(OR(P6="",'Consol P&amp;L'!P6="",'Consol P&amp;L'!P6=0),"",P6/'Consol P&amp;L'!P6),"")</f>
        <v>0.126070406891549</v>
      </c>
      <c r="Q9" s="32" t="n">
        <f aca="false">IFERROR(IF(OR(Q6="",'Consol P&amp;L'!Q6="",'Consol P&amp;L'!Q6=0),"",Q6/'Consol P&amp;L'!Q6),"")</f>
        <v>0.11792594672378</v>
      </c>
      <c r="R9" s="32" t="n">
        <f aca="false">IFERROR(IF(OR(R6="",'Consol P&amp;L'!R6="",'Consol P&amp;L'!R6=0),"",R6/'Consol P&amp;L'!R6),"")</f>
        <v>0.0930606807908914</v>
      </c>
      <c r="S9" s="32" t="str">
        <f aca="false">IFERROR(IF(OR(S6="",'Consol P&amp;L'!S6="",'Consol P&amp;L'!S6=0),"",S6/'Consol P&amp;L'!S6),"")</f>
        <v/>
      </c>
      <c r="T9" s="32" t="str">
        <f aca="false">IFERROR(IF(OR(T6="",'Consol P&amp;L'!T6="",'Consol P&amp;L'!T6=0),"",T6/'Consol P&amp;L'!T6),"")</f>
        <v/>
      </c>
      <c r="U9" s="32" t="str">
        <f aca="false">IFERROR(IF(OR(U6="",'Consol P&amp;L'!U6="",'Consol P&amp;L'!U6=0),"",U6/'Consol P&amp;L'!U6),"")</f>
        <v/>
      </c>
      <c r="V9" s="32" t="n">
        <f aca="false">IFERROR(IF(OR(V6="",'Consol P&amp;L'!V6="",'Consol P&amp;L'!V6=0),"",V6/'Consol P&amp;L'!V6),"")</f>
        <v>0.0874875308350598</v>
      </c>
      <c r="W9" s="32" t="str">
        <f aca="false">IFERROR(IF(OR(W6="",'Consol P&amp;L'!W6="",'Consol P&amp;L'!W6=0),"",W6/'Consol P&amp;L'!W6),"")</f>
        <v/>
      </c>
      <c r="X9" s="32" t="str">
        <f aca="false">IFERROR(IF(OR(X6="",'Consol P&amp;L'!X6="",'Consol P&amp;L'!X6=0),"",X6/'Consol P&amp;L'!X6),"")</f>
        <v/>
      </c>
      <c r="Y9" s="32" t="str">
        <f aca="false">IFERROR(IF(OR(Y6="",'Consol P&amp;L'!Y6="",'Consol P&amp;L'!Y6=0),"",Y6/'Consol P&amp;L'!Y6),"")</f>
        <v/>
      </c>
      <c r="Z9" s="32" t="str">
        <f aca="false">IFERROR(IF(OR(Z6="",'Consol P&amp;L'!Z6="",'Consol P&amp;L'!Z6=0),"",Z6/'Consol P&amp;L'!Z6),"")</f>
        <v/>
      </c>
      <c r="AA9" s="32" t="str">
        <f aca="false">IFERROR(IF(OR(AA6="",'Consol P&amp;L'!AA6="",'Consol P&amp;L'!AA6=0),"",AA6/'Consol P&amp;L'!AA6),"")</f>
        <v/>
      </c>
      <c r="AB9" s="32" t="str">
        <f aca="false">IFERROR(IF(OR(AB6="",'Consol P&amp;L'!AB6="",'Consol P&amp;L'!AB6=0),"",AB6/'Consol P&amp;L'!AB6),"")</f>
        <v/>
      </c>
    </row>
  </sheetData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30.93"/>
    <col collapsed="false" customWidth="true" hidden="false" outlineLevel="0" max="2" min="2" style="1" width="16.38"/>
    <col collapsed="false" customWidth="true" hidden="false" outlineLevel="0" max="3" min="3" style="1" width="25.47"/>
    <col collapsed="false" customWidth="true" hidden="false" outlineLevel="0" max="6" min="4" style="1" width="16.38"/>
    <col collapsed="false" customWidth="true" hidden="false" outlineLevel="0" max="7" min="7" style="1" width="52.77"/>
    <col collapsed="false" customWidth="true" hidden="false" outlineLevel="0" max="8" min="8" style="1" width="16.38"/>
  </cols>
  <sheetData>
    <row r="1" customFormat="false" ht="18" hidden="false" customHeight="true" outlineLevel="0" collapsed="false">
      <c r="A1" s="13" t="s">
        <v>140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customFormat="false" ht="15" hidden="false" customHeight="true" outlineLevel="0" collapsed="false">
      <c r="A2" s="3" t="s">
        <v>141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4" customFormat="false" ht="15" hidden="false" customHeight="true" outlineLevel="0" collapsed="false">
      <c r="A4" s="37" t="s">
        <v>142</v>
      </c>
      <c r="B4" s="37" t="s">
        <v>143</v>
      </c>
      <c r="C4" s="37" t="s">
        <v>144</v>
      </c>
      <c r="D4" s="37" t="s">
        <v>145</v>
      </c>
      <c r="E4" s="37" t="s">
        <v>146</v>
      </c>
      <c r="F4" s="37" t="s">
        <v>147</v>
      </c>
      <c r="G4" s="37" t="s">
        <v>148</v>
      </c>
      <c r="H4" s="37" t="s">
        <v>149</v>
      </c>
    </row>
    <row r="5" customFormat="false" ht="15" hidden="false" customHeight="true" outlineLevel="0" collapsed="false">
      <c r="A5" s="18" t="s">
        <v>150</v>
      </c>
      <c r="B5" s="27" t="s">
        <v>151</v>
      </c>
      <c r="C5" s="27" t="s">
        <v>152</v>
      </c>
      <c r="D5" s="19"/>
      <c r="E5" s="19"/>
      <c r="F5" s="19"/>
      <c r="G5" s="27" t="s">
        <v>153</v>
      </c>
      <c r="H5" s="27" t="s">
        <v>154</v>
      </c>
    </row>
    <row r="6" customFormat="false" ht="15" hidden="false" customHeight="true" outlineLevel="0" collapsed="false">
      <c r="A6" s="18" t="s">
        <v>155</v>
      </c>
      <c r="B6" s="27" t="n">
        <v>5</v>
      </c>
      <c r="C6" s="27" t="s">
        <v>156</v>
      </c>
      <c r="D6" s="19"/>
      <c r="E6" s="19"/>
      <c r="F6" s="19"/>
      <c r="G6" s="27" t="s">
        <v>157</v>
      </c>
      <c r="H6" s="27" t="s">
        <v>154</v>
      </c>
    </row>
    <row r="7" customFormat="false" ht="15" hidden="false" customHeight="true" outlineLevel="0" collapsed="false">
      <c r="A7" s="18" t="s">
        <v>158</v>
      </c>
      <c r="B7" s="27" t="s">
        <v>159</v>
      </c>
      <c r="C7" s="27" t="s">
        <v>160</v>
      </c>
      <c r="D7" s="19"/>
      <c r="E7" s="19"/>
      <c r="F7" s="19"/>
      <c r="G7" s="27" t="s">
        <v>161</v>
      </c>
      <c r="H7" s="27" t="s">
        <v>154</v>
      </c>
    </row>
    <row r="8" customFormat="false" ht="15" hidden="false" customHeight="true" outlineLevel="0" collapsed="false">
      <c r="A8" s="18" t="s">
        <v>162</v>
      </c>
      <c r="B8" s="38" t="n">
        <v>0.77</v>
      </c>
      <c r="C8" s="27" t="s">
        <v>163</v>
      </c>
      <c r="D8" s="19"/>
      <c r="E8" s="19"/>
      <c r="F8" s="19"/>
      <c r="G8" s="27" t="s">
        <v>164</v>
      </c>
      <c r="H8" s="27" t="s">
        <v>154</v>
      </c>
    </row>
    <row r="9" customFormat="false" ht="15" hidden="false" customHeight="true" outlineLevel="0" collapsed="false">
      <c r="A9" s="18" t="s">
        <v>165</v>
      </c>
      <c r="B9" s="27" t="s">
        <v>166</v>
      </c>
      <c r="C9" s="27" t="s">
        <v>167</v>
      </c>
      <c r="D9" s="19"/>
      <c r="E9" s="19"/>
      <c r="F9" s="19"/>
      <c r="G9" s="27" t="s">
        <v>168</v>
      </c>
      <c r="H9" s="27" t="s">
        <v>154</v>
      </c>
    </row>
  </sheetData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3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10.01"/>
    <col collapsed="false" customWidth="true" hidden="false" outlineLevel="0" max="3" min="3" style="1" width="36.39"/>
    <col collapsed="false" customWidth="true" hidden="false" outlineLevel="0" max="4" min="4" style="1" width="18.2"/>
    <col collapsed="false" customWidth="true" hidden="false" outlineLevel="0" max="5" min="5" style="1" width="12.74"/>
    <col collapsed="false" customWidth="true" hidden="false" outlineLevel="0" max="6" min="6" style="1" width="41.85"/>
    <col collapsed="false" customWidth="true" hidden="false" outlineLevel="0" max="7" min="7" style="1" width="20.01"/>
    <col collapsed="false" customWidth="true" hidden="false" outlineLevel="0" max="8" min="8" style="1" width="21.84"/>
    <col collapsed="false" customWidth="true" hidden="false" outlineLevel="0" max="9" min="9" style="1" width="63.69"/>
    <col collapsed="false" customWidth="true" hidden="false" outlineLevel="0" max="10" min="10" style="1" width="13.65"/>
    <col collapsed="false" customWidth="true" hidden="false" outlineLevel="0" max="11" min="11" style="1" width="63.69"/>
    <col collapsed="false" customWidth="true" hidden="false" outlineLevel="0" max="12" min="12" style="1" width="20.01"/>
  </cols>
  <sheetData>
    <row r="1" customFormat="false" ht="18" hidden="false" customHeight="true" outlineLevel="0" collapsed="false">
      <c r="A1" s="13" t="s">
        <v>169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customFormat="false" ht="15" hidden="false" customHeight="true" outlineLevel="0" collapsed="false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4" customFormat="false" ht="15" hidden="false" customHeight="true" outlineLevel="0" collapsed="false">
      <c r="A4" s="39" t="s">
        <v>171</v>
      </c>
      <c r="B4" s="39" t="s">
        <v>172</v>
      </c>
      <c r="C4" s="39" t="s">
        <v>142</v>
      </c>
      <c r="D4" s="39" t="s">
        <v>173</v>
      </c>
      <c r="E4" s="39" t="s">
        <v>174</v>
      </c>
      <c r="F4" s="39" t="s">
        <v>175</v>
      </c>
      <c r="G4" s="39" t="s">
        <v>176</v>
      </c>
      <c r="H4" s="39" t="s">
        <v>177</v>
      </c>
      <c r="I4" s="39" t="s">
        <v>178</v>
      </c>
      <c r="J4" s="39" t="s">
        <v>179</v>
      </c>
      <c r="K4" s="39" t="s">
        <v>180</v>
      </c>
      <c r="L4" s="39" t="s">
        <v>181</v>
      </c>
    </row>
    <row r="5" customFormat="false" ht="26.25" hidden="false" customHeight="true" outlineLevel="0" collapsed="false">
      <c r="A5" s="40" t="s">
        <v>79</v>
      </c>
      <c r="B5" s="40" t="s">
        <v>182</v>
      </c>
      <c r="C5" s="40" t="s">
        <v>183</v>
      </c>
      <c r="D5" s="40" t="s">
        <v>184</v>
      </c>
      <c r="E5" s="40" t="s">
        <v>38</v>
      </c>
      <c r="F5" s="40" t="s">
        <v>185</v>
      </c>
      <c r="G5" s="40" t="s">
        <v>186</v>
      </c>
      <c r="H5" s="40" t="s">
        <v>187</v>
      </c>
      <c r="I5" s="40" t="s">
        <v>188</v>
      </c>
      <c r="J5" s="40" t="s">
        <v>189</v>
      </c>
      <c r="K5" s="40" t="s">
        <v>190</v>
      </c>
      <c r="L5" s="40" t="s">
        <v>191</v>
      </c>
    </row>
    <row r="6" customFormat="false" ht="26.25" hidden="false" customHeight="true" outlineLevel="0" collapsed="false">
      <c r="A6" s="40" t="s">
        <v>79</v>
      </c>
      <c r="B6" s="40" t="s">
        <v>192</v>
      </c>
      <c r="C6" s="40" t="s">
        <v>183</v>
      </c>
      <c r="D6" s="40" t="s">
        <v>184</v>
      </c>
      <c r="E6" s="40" t="s">
        <v>39</v>
      </c>
      <c r="F6" s="41" t="s">
        <v>193</v>
      </c>
      <c r="G6" s="40" t="s">
        <v>194</v>
      </c>
      <c r="H6" s="40" t="s">
        <v>187</v>
      </c>
      <c r="I6" s="40" t="s">
        <v>195</v>
      </c>
      <c r="J6" s="40" t="s">
        <v>189</v>
      </c>
      <c r="K6" s="40" t="s">
        <v>190</v>
      </c>
      <c r="L6" s="40" t="s">
        <v>191</v>
      </c>
    </row>
    <row r="7" customFormat="false" ht="26.25" hidden="false" customHeight="true" outlineLevel="0" collapsed="false">
      <c r="A7" s="40" t="s">
        <v>79</v>
      </c>
      <c r="B7" s="40" t="s">
        <v>196</v>
      </c>
      <c r="C7" s="40" t="s">
        <v>183</v>
      </c>
      <c r="D7" s="40" t="s">
        <v>184</v>
      </c>
      <c r="E7" s="40" t="s">
        <v>40</v>
      </c>
      <c r="F7" s="41" t="s">
        <v>197</v>
      </c>
      <c r="G7" s="40" t="s">
        <v>198</v>
      </c>
      <c r="H7" s="40" t="s">
        <v>187</v>
      </c>
      <c r="I7" s="40" t="s">
        <v>199</v>
      </c>
      <c r="J7" s="40" t="s">
        <v>189</v>
      </c>
      <c r="K7" s="40" t="s">
        <v>190</v>
      </c>
      <c r="L7" s="40" t="s">
        <v>191</v>
      </c>
    </row>
    <row r="8" customFormat="false" ht="26.25" hidden="false" customHeight="true" outlineLevel="0" collapsed="false">
      <c r="A8" s="40" t="s">
        <v>79</v>
      </c>
      <c r="B8" s="40" t="s">
        <v>200</v>
      </c>
      <c r="C8" s="40" t="s">
        <v>183</v>
      </c>
      <c r="D8" s="40" t="s">
        <v>184</v>
      </c>
      <c r="E8" s="40" t="s">
        <v>41</v>
      </c>
      <c r="F8" s="41" t="s">
        <v>201</v>
      </c>
      <c r="G8" s="40" t="s">
        <v>202</v>
      </c>
      <c r="H8" s="40" t="s">
        <v>187</v>
      </c>
      <c r="I8" s="40" t="s">
        <v>203</v>
      </c>
      <c r="J8" s="40" t="s">
        <v>189</v>
      </c>
      <c r="K8" s="40" t="s">
        <v>190</v>
      </c>
      <c r="L8" s="40" t="s">
        <v>191</v>
      </c>
    </row>
    <row r="9" customFormat="false" ht="26.25" hidden="false" customHeight="true" outlineLevel="0" collapsed="false">
      <c r="A9" s="40" t="s">
        <v>79</v>
      </c>
      <c r="B9" s="40" t="s">
        <v>204</v>
      </c>
      <c r="C9" s="40" t="s">
        <v>205</v>
      </c>
      <c r="D9" s="40" t="s">
        <v>184</v>
      </c>
      <c r="E9" s="40" t="s">
        <v>42</v>
      </c>
      <c r="F9" s="41" t="s">
        <v>206</v>
      </c>
      <c r="G9" s="40" t="s">
        <v>207</v>
      </c>
      <c r="H9" s="40" t="s">
        <v>187</v>
      </c>
      <c r="I9" s="40" t="s">
        <v>208</v>
      </c>
      <c r="J9" s="40" t="s">
        <v>189</v>
      </c>
      <c r="K9" s="40" t="s">
        <v>190</v>
      </c>
      <c r="L9" s="40" t="s">
        <v>191</v>
      </c>
    </row>
    <row r="10" customFormat="false" ht="26.25" hidden="false" customHeight="true" outlineLevel="0" collapsed="false">
      <c r="A10" s="40" t="s">
        <v>79</v>
      </c>
      <c r="B10" s="40" t="s">
        <v>209</v>
      </c>
      <c r="C10" s="40" t="s">
        <v>183</v>
      </c>
      <c r="D10" s="40" t="s">
        <v>184</v>
      </c>
      <c r="E10" s="40" t="s">
        <v>42</v>
      </c>
      <c r="F10" s="41" t="s">
        <v>206</v>
      </c>
      <c r="G10" s="40" t="s">
        <v>207</v>
      </c>
      <c r="H10" s="40" t="s">
        <v>187</v>
      </c>
      <c r="I10" s="40" t="s">
        <v>208</v>
      </c>
      <c r="J10" s="40" t="s">
        <v>189</v>
      </c>
      <c r="K10" s="40" t="s">
        <v>190</v>
      </c>
      <c r="L10" s="40" t="s">
        <v>191</v>
      </c>
    </row>
    <row r="11" customFormat="false" ht="26.25" hidden="false" customHeight="true" outlineLevel="0" collapsed="false">
      <c r="A11" s="40" t="s">
        <v>79</v>
      </c>
      <c r="B11" s="40" t="s">
        <v>210</v>
      </c>
      <c r="C11" s="40" t="s">
        <v>205</v>
      </c>
      <c r="D11" s="40" t="s">
        <v>184</v>
      </c>
      <c r="E11" s="40" t="s">
        <v>43</v>
      </c>
      <c r="F11" s="41" t="s">
        <v>211</v>
      </c>
      <c r="G11" s="40" t="s">
        <v>212</v>
      </c>
      <c r="H11" s="40" t="s">
        <v>187</v>
      </c>
      <c r="I11" s="40" t="s">
        <v>213</v>
      </c>
      <c r="J11" s="40" t="s">
        <v>189</v>
      </c>
      <c r="K11" s="40" t="s">
        <v>190</v>
      </c>
      <c r="L11" s="40" t="s">
        <v>191</v>
      </c>
    </row>
    <row r="12" customFormat="false" ht="26.25" hidden="false" customHeight="true" outlineLevel="0" collapsed="false">
      <c r="A12" s="40" t="s">
        <v>79</v>
      </c>
      <c r="B12" s="40" t="s">
        <v>214</v>
      </c>
      <c r="C12" s="40" t="s">
        <v>183</v>
      </c>
      <c r="D12" s="40" t="s">
        <v>184</v>
      </c>
      <c r="E12" s="40" t="s">
        <v>43</v>
      </c>
      <c r="F12" s="41" t="s">
        <v>211</v>
      </c>
      <c r="G12" s="40" t="s">
        <v>212</v>
      </c>
      <c r="H12" s="40" t="s">
        <v>187</v>
      </c>
      <c r="I12" s="40" t="s">
        <v>213</v>
      </c>
      <c r="J12" s="40" t="s">
        <v>189</v>
      </c>
      <c r="K12" s="40" t="s">
        <v>190</v>
      </c>
      <c r="L12" s="40" t="s">
        <v>191</v>
      </c>
    </row>
    <row r="13" customFormat="false" ht="26.25" hidden="false" customHeight="true" outlineLevel="0" collapsed="false">
      <c r="A13" s="40" t="s">
        <v>79</v>
      </c>
      <c r="B13" s="40" t="s">
        <v>215</v>
      </c>
      <c r="C13" s="40" t="s">
        <v>205</v>
      </c>
      <c r="D13" s="40" t="s">
        <v>184</v>
      </c>
      <c r="E13" s="40" t="s">
        <v>44</v>
      </c>
      <c r="F13" s="41" t="s">
        <v>216</v>
      </c>
      <c r="G13" s="40" t="s">
        <v>217</v>
      </c>
      <c r="H13" s="40" t="s">
        <v>187</v>
      </c>
      <c r="I13" s="40" t="s">
        <v>218</v>
      </c>
      <c r="J13" s="40" t="s">
        <v>189</v>
      </c>
      <c r="K13" s="40" t="s">
        <v>190</v>
      </c>
      <c r="L13" s="40" t="s">
        <v>191</v>
      </c>
    </row>
    <row r="14" customFormat="false" ht="26.25" hidden="false" customHeight="true" outlineLevel="0" collapsed="false">
      <c r="A14" s="40" t="s">
        <v>79</v>
      </c>
      <c r="B14" s="40" t="s">
        <v>219</v>
      </c>
      <c r="C14" s="40" t="s">
        <v>183</v>
      </c>
      <c r="D14" s="40" t="s">
        <v>184</v>
      </c>
      <c r="E14" s="40" t="s">
        <v>44</v>
      </c>
      <c r="F14" s="41" t="s">
        <v>216</v>
      </c>
      <c r="G14" s="40" t="s">
        <v>217</v>
      </c>
      <c r="H14" s="40" t="s">
        <v>187</v>
      </c>
      <c r="I14" s="40" t="s">
        <v>218</v>
      </c>
      <c r="J14" s="40" t="s">
        <v>189</v>
      </c>
      <c r="K14" s="40" t="s">
        <v>190</v>
      </c>
      <c r="L14" s="40" t="s">
        <v>191</v>
      </c>
    </row>
    <row r="15" customFormat="false" ht="26.25" hidden="false" customHeight="true" outlineLevel="0" collapsed="false">
      <c r="A15" s="40" t="s">
        <v>79</v>
      </c>
      <c r="B15" s="40" t="s">
        <v>220</v>
      </c>
      <c r="C15" s="40" t="s">
        <v>205</v>
      </c>
      <c r="D15" s="40" t="s">
        <v>184</v>
      </c>
      <c r="E15" s="40" t="s">
        <v>45</v>
      </c>
      <c r="F15" s="41" t="s">
        <v>221</v>
      </c>
      <c r="G15" s="40" t="s">
        <v>222</v>
      </c>
      <c r="H15" s="40" t="s">
        <v>187</v>
      </c>
      <c r="I15" s="40" t="s">
        <v>223</v>
      </c>
      <c r="J15" s="40" t="s">
        <v>189</v>
      </c>
      <c r="K15" s="40" t="s">
        <v>190</v>
      </c>
      <c r="L15" s="40" t="s">
        <v>191</v>
      </c>
    </row>
    <row r="16" customFormat="false" ht="26.25" hidden="false" customHeight="true" outlineLevel="0" collapsed="false">
      <c r="A16" s="40" t="s">
        <v>79</v>
      </c>
      <c r="B16" s="40" t="s">
        <v>224</v>
      </c>
      <c r="C16" s="40" t="s">
        <v>183</v>
      </c>
      <c r="D16" s="40" t="s">
        <v>184</v>
      </c>
      <c r="E16" s="40" t="s">
        <v>45</v>
      </c>
      <c r="F16" s="41" t="s">
        <v>221</v>
      </c>
      <c r="G16" s="40" t="s">
        <v>222</v>
      </c>
      <c r="H16" s="40" t="s">
        <v>187</v>
      </c>
      <c r="I16" s="40" t="s">
        <v>223</v>
      </c>
      <c r="J16" s="40" t="s">
        <v>189</v>
      </c>
      <c r="K16" s="40" t="s">
        <v>190</v>
      </c>
      <c r="L16" s="40" t="s">
        <v>191</v>
      </c>
    </row>
    <row r="17" customFormat="false" ht="26.25" hidden="false" customHeight="true" outlineLevel="0" collapsed="false">
      <c r="A17" s="40" t="s">
        <v>79</v>
      </c>
      <c r="B17" s="40" t="s">
        <v>225</v>
      </c>
      <c r="C17" s="40" t="s">
        <v>205</v>
      </c>
      <c r="D17" s="40" t="s">
        <v>184</v>
      </c>
      <c r="E17" s="40" t="s">
        <v>47</v>
      </c>
      <c r="F17" s="41" t="s">
        <v>226</v>
      </c>
      <c r="G17" s="40" t="s">
        <v>227</v>
      </c>
      <c r="H17" s="40" t="s">
        <v>187</v>
      </c>
      <c r="I17" s="40" t="s">
        <v>228</v>
      </c>
      <c r="J17" s="40" t="s">
        <v>189</v>
      </c>
      <c r="K17" s="40" t="s">
        <v>190</v>
      </c>
      <c r="L17" s="40" t="s">
        <v>191</v>
      </c>
    </row>
    <row r="18" customFormat="false" ht="26.25" hidden="false" customHeight="true" outlineLevel="0" collapsed="false">
      <c r="A18" s="40" t="s">
        <v>79</v>
      </c>
      <c r="B18" s="40" t="s">
        <v>229</v>
      </c>
      <c r="C18" s="40" t="s">
        <v>183</v>
      </c>
      <c r="D18" s="40" t="s">
        <v>184</v>
      </c>
      <c r="E18" s="40" t="s">
        <v>47</v>
      </c>
      <c r="F18" s="41" t="s">
        <v>226</v>
      </c>
      <c r="G18" s="40" t="s">
        <v>227</v>
      </c>
      <c r="H18" s="40" t="s">
        <v>187</v>
      </c>
      <c r="I18" s="40" t="s">
        <v>228</v>
      </c>
      <c r="J18" s="40" t="s">
        <v>189</v>
      </c>
      <c r="K18" s="40" t="s">
        <v>190</v>
      </c>
      <c r="L18" s="40" t="s">
        <v>191</v>
      </c>
    </row>
    <row r="19" customFormat="false" ht="26.25" hidden="false" customHeight="true" outlineLevel="0" collapsed="false">
      <c r="A19" s="40" t="s">
        <v>79</v>
      </c>
      <c r="B19" s="40" t="s">
        <v>230</v>
      </c>
      <c r="C19" s="40" t="s">
        <v>205</v>
      </c>
      <c r="D19" s="40" t="s">
        <v>184</v>
      </c>
      <c r="E19" s="40" t="s">
        <v>49</v>
      </c>
      <c r="F19" s="41" t="s">
        <v>231</v>
      </c>
      <c r="G19" s="40" t="s">
        <v>212</v>
      </c>
      <c r="H19" s="40" t="s">
        <v>187</v>
      </c>
      <c r="I19" s="40" t="s">
        <v>232</v>
      </c>
      <c r="J19" s="40" t="s">
        <v>189</v>
      </c>
      <c r="K19" s="40" t="s">
        <v>190</v>
      </c>
      <c r="L19" s="40" t="s">
        <v>191</v>
      </c>
    </row>
    <row r="20" customFormat="false" ht="26.25" hidden="false" customHeight="true" outlineLevel="0" collapsed="false">
      <c r="A20" s="40" t="s">
        <v>79</v>
      </c>
      <c r="B20" s="40" t="s">
        <v>233</v>
      </c>
      <c r="C20" s="40" t="s">
        <v>183</v>
      </c>
      <c r="D20" s="40" t="s">
        <v>184</v>
      </c>
      <c r="E20" s="40" t="s">
        <v>49</v>
      </c>
      <c r="F20" s="41" t="s">
        <v>231</v>
      </c>
      <c r="G20" s="40" t="s">
        <v>212</v>
      </c>
      <c r="H20" s="40" t="s">
        <v>187</v>
      </c>
      <c r="I20" s="40" t="s">
        <v>232</v>
      </c>
      <c r="J20" s="40" t="s">
        <v>189</v>
      </c>
      <c r="K20" s="40" t="s">
        <v>190</v>
      </c>
      <c r="L20" s="40" t="s">
        <v>191</v>
      </c>
    </row>
    <row r="21" customFormat="false" ht="26.25" hidden="false" customHeight="true" outlineLevel="0" collapsed="false">
      <c r="A21" s="40" t="s">
        <v>79</v>
      </c>
      <c r="B21" s="40" t="s">
        <v>234</v>
      </c>
      <c r="C21" s="40" t="s">
        <v>205</v>
      </c>
      <c r="D21" s="40" t="s">
        <v>184</v>
      </c>
      <c r="E21" s="40" t="s">
        <v>51</v>
      </c>
      <c r="F21" s="41" t="s">
        <v>235</v>
      </c>
      <c r="G21" s="40" t="s">
        <v>236</v>
      </c>
      <c r="H21" s="40" t="s">
        <v>187</v>
      </c>
      <c r="I21" s="40" t="s">
        <v>237</v>
      </c>
      <c r="J21" s="40" t="s">
        <v>189</v>
      </c>
      <c r="K21" s="40" t="s">
        <v>190</v>
      </c>
      <c r="L21" s="40" t="s">
        <v>191</v>
      </c>
    </row>
    <row r="22" customFormat="false" ht="26.25" hidden="false" customHeight="true" outlineLevel="0" collapsed="false">
      <c r="A22" s="40" t="s">
        <v>79</v>
      </c>
      <c r="B22" s="40" t="s">
        <v>238</v>
      </c>
      <c r="C22" s="40" t="s">
        <v>183</v>
      </c>
      <c r="D22" s="40" t="s">
        <v>184</v>
      </c>
      <c r="E22" s="40" t="s">
        <v>51</v>
      </c>
      <c r="F22" s="41" t="s">
        <v>235</v>
      </c>
      <c r="G22" s="40" t="s">
        <v>236</v>
      </c>
      <c r="H22" s="40" t="s">
        <v>187</v>
      </c>
      <c r="I22" s="40" t="s">
        <v>237</v>
      </c>
      <c r="J22" s="40" t="s">
        <v>189</v>
      </c>
      <c r="K22" s="40" t="s">
        <v>190</v>
      </c>
      <c r="L22" s="40" t="s">
        <v>191</v>
      </c>
    </row>
    <row r="23" customFormat="false" ht="26.25" hidden="false" customHeight="true" outlineLevel="0" collapsed="false">
      <c r="A23" s="40" t="s">
        <v>79</v>
      </c>
      <c r="B23" s="40" t="s">
        <v>239</v>
      </c>
      <c r="C23" s="40" t="s">
        <v>205</v>
      </c>
      <c r="D23" s="40" t="s">
        <v>184</v>
      </c>
      <c r="E23" s="40" t="s">
        <v>53</v>
      </c>
      <c r="F23" s="41" t="s">
        <v>240</v>
      </c>
      <c r="G23" s="40" t="s">
        <v>217</v>
      </c>
      <c r="H23" s="40" t="s">
        <v>187</v>
      </c>
      <c r="I23" s="40" t="s">
        <v>241</v>
      </c>
      <c r="J23" s="40" t="s">
        <v>189</v>
      </c>
      <c r="K23" s="40" t="s">
        <v>190</v>
      </c>
      <c r="L23" s="40" t="s">
        <v>191</v>
      </c>
    </row>
    <row r="24" customFormat="false" ht="26.25" hidden="false" customHeight="true" outlineLevel="0" collapsed="false">
      <c r="A24" s="40" t="s">
        <v>79</v>
      </c>
      <c r="B24" s="40" t="s">
        <v>242</v>
      </c>
      <c r="C24" s="40" t="s">
        <v>183</v>
      </c>
      <c r="D24" s="40" t="s">
        <v>184</v>
      </c>
      <c r="E24" s="40" t="s">
        <v>53</v>
      </c>
      <c r="F24" s="41" t="s">
        <v>240</v>
      </c>
      <c r="G24" s="40" t="s">
        <v>217</v>
      </c>
      <c r="H24" s="40" t="s">
        <v>187</v>
      </c>
      <c r="I24" s="40" t="s">
        <v>241</v>
      </c>
      <c r="J24" s="40" t="s">
        <v>189</v>
      </c>
      <c r="K24" s="40" t="s">
        <v>190</v>
      </c>
      <c r="L24" s="40" t="s">
        <v>191</v>
      </c>
    </row>
    <row r="25" customFormat="false" ht="26.25" hidden="false" customHeight="true" outlineLevel="0" collapsed="false">
      <c r="A25" s="40" t="s">
        <v>86</v>
      </c>
      <c r="B25" s="40" t="s">
        <v>243</v>
      </c>
      <c r="C25" s="41" t="s">
        <v>244</v>
      </c>
      <c r="D25" s="40" t="s">
        <v>184</v>
      </c>
      <c r="E25" s="40" t="s">
        <v>37</v>
      </c>
      <c r="F25" s="40" t="s">
        <v>245</v>
      </c>
      <c r="G25" s="40" t="s">
        <v>246</v>
      </c>
      <c r="H25" s="40" t="s">
        <v>247</v>
      </c>
      <c r="I25" s="40" t="s">
        <v>248</v>
      </c>
      <c r="J25" s="40" t="s">
        <v>249</v>
      </c>
      <c r="K25" s="40" t="s">
        <v>250</v>
      </c>
      <c r="L25" s="40" t="s">
        <v>191</v>
      </c>
    </row>
    <row r="26" customFormat="false" ht="26.25" hidden="false" customHeight="true" outlineLevel="0" collapsed="false">
      <c r="A26" s="40" t="s">
        <v>86</v>
      </c>
      <c r="B26" s="40" t="s">
        <v>251</v>
      </c>
      <c r="C26" s="41" t="s">
        <v>252</v>
      </c>
      <c r="D26" s="40" t="s">
        <v>184</v>
      </c>
      <c r="E26" s="40" t="s">
        <v>37</v>
      </c>
      <c r="F26" s="40" t="s">
        <v>245</v>
      </c>
      <c r="G26" s="40" t="s">
        <v>246</v>
      </c>
      <c r="H26" s="40" t="s">
        <v>253</v>
      </c>
      <c r="I26" s="40" t="s">
        <v>248</v>
      </c>
      <c r="J26" s="40" t="s">
        <v>8</v>
      </c>
      <c r="K26" s="40" t="s">
        <v>250</v>
      </c>
      <c r="L26" s="40" t="s">
        <v>191</v>
      </c>
    </row>
    <row r="27" customFormat="false" ht="26.25" hidden="false" customHeight="true" outlineLevel="0" collapsed="false">
      <c r="A27" s="40" t="s">
        <v>86</v>
      </c>
      <c r="B27" s="40" t="s">
        <v>182</v>
      </c>
      <c r="C27" s="41" t="s">
        <v>244</v>
      </c>
      <c r="D27" s="40" t="s">
        <v>184</v>
      </c>
      <c r="E27" s="40" t="s">
        <v>38</v>
      </c>
      <c r="F27" s="40" t="s">
        <v>254</v>
      </c>
      <c r="G27" s="40" t="s">
        <v>186</v>
      </c>
      <c r="H27" s="40" t="s">
        <v>247</v>
      </c>
      <c r="I27" s="40" t="s">
        <v>255</v>
      </c>
      <c r="J27" s="40" t="s">
        <v>249</v>
      </c>
      <c r="K27" s="40" t="s">
        <v>250</v>
      </c>
      <c r="L27" s="40" t="s">
        <v>191</v>
      </c>
    </row>
    <row r="28" customFormat="false" ht="26.25" hidden="false" customHeight="true" outlineLevel="0" collapsed="false">
      <c r="A28" s="40" t="s">
        <v>86</v>
      </c>
      <c r="B28" s="40" t="s">
        <v>256</v>
      </c>
      <c r="C28" s="41" t="s">
        <v>252</v>
      </c>
      <c r="D28" s="40" t="s">
        <v>184</v>
      </c>
      <c r="E28" s="40" t="s">
        <v>38</v>
      </c>
      <c r="F28" s="40" t="s">
        <v>254</v>
      </c>
      <c r="G28" s="40" t="s">
        <v>186</v>
      </c>
      <c r="H28" s="40" t="s">
        <v>253</v>
      </c>
      <c r="I28" s="40" t="s">
        <v>255</v>
      </c>
      <c r="J28" s="40" t="s">
        <v>8</v>
      </c>
      <c r="K28" s="40" t="s">
        <v>250</v>
      </c>
      <c r="L28" s="40" t="s">
        <v>191</v>
      </c>
    </row>
    <row r="29" customFormat="false" ht="26.25" hidden="false" customHeight="true" outlineLevel="0" collapsed="false">
      <c r="A29" s="40" t="s">
        <v>86</v>
      </c>
      <c r="B29" s="40" t="s">
        <v>192</v>
      </c>
      <c r="C29" s="41" t="s">
        <v>244</v>
      </c>
      <c r="D29" s="40" t="s">
        <v>184</v>
      </c>
      <c r="E29" s="40" t="s">
        <v>39</v>
      </c>
      <c r="F29" s="41" t="s">
        <v>257</v>
      </c>
      <c r="G29" s="40" t="s">
        <v>194</v>
      </c>
      <c r="H29" s="40" t="s">
        <v>247</v>
      </c>
      <c r="I29" s="40" t="s">
        <v>258</v>
      </c>
      <c r="J29" s="40" t="s">
        <v>249</v>
      </c>
      <c r="K29" s="40" t="s">
        <v>250</v>
      </c>
      <c r="L29" s="40" t="s">
        <v>191</v>
      </c>
    </row>
    <row r="30" customFormat="false" ht="26.25" hidden="false" customHeight="true" outlineLevel="0" collapsed="false">
      <c r="A30" s="40" t="s">
        <v>86</v>
      </c>
      <c r="B30" s="40" t="s">
        <v>259</v>
      </c>
      <c r="C30" s="41" t="s">
        <v>252</v>
      </c>
      <c r="D30" s="40" t="s">
        <v>184</v>
      </c>
      <c r="E30" s="40" t="s">
        <v>39</v>
      </c>
      <c r="F30" s="41" t="s">
        <v>257</v>
      </c>
      <c r="G30" s="40" t="s">
        <v>194</v>
      </c>
      <c r="H30" s="40" t="s">
        <v>253</v>
      </c>
      <c r="I30" s="40" t="s">
        <v>258</v>
      </c>
      <c r="J30" s="40" t="s">
        <v>8</v>
      </c>
      <c r="K30" s="40" t="s">
        <v>250</v>
      </c>
      <c r="L30" s="40" t="s">
        <v>191</v>
      </c>
    </row>
    <row r="31" customFormat="false" ht="26.25" hidden="false" customHeight="true" outlineLevel="0" collapsed="false">
      <c r="A31" s="40" t="s">
        <v>86</v>
      </c>
      <c r="B31" s="40" t="s">
        <v>196</v>
      </c>
      <c r="C31" s="41" t="s">
        <v>244</v>
      </c>
      <c r="D31" s="40" t="s">
        <v>184</v>
      </c>
      <c r="E31" s="40" t="s">
        <v>40</v>
      </c>
      <c r="F31" s="41" t="s">
        <v>260</v>
      </c>
      <c r="G31" s="40" t="s">
        <v>198</v>
      </c>
      <c r="H31" s="40" t="s">
        <v>247</v>
      </c>
      <c r="I31" s="40" t="s">
        <v>261</v>
      </c>
      <c r="J31" s="40" t="s">
        <v>249</v>
      </c>
      <c r="K31" s="40" t="s">
        <v>250</v>
      </c>
      <c r="L31" s="40" t="s">
        <v>191</v>
      </c>
    </row>
    <row r="32" customFormat="false" ht="26.25" hidden="false" customHeight="true" outlineLevel="0" collapsed="false">
      <c r="A32" s="40" t="s">
        <v>86</v>
      </c>
      <c r="B32" s="40" t="s">
        <v>262</v>
      </c>
      <c r="C32" s="41" t="s">
        <v>252</v>
      </c>
      <c r="D32" s="40" t="s">
        <v>184</v>
      </c>
      <c r="E32" s="40" t="s">
        <v>40</v>
      </c>
      <c r="F32" s="41" t="s">
        <v>260</v>
      </c>
      <c r="G32" s="40" t="s">
        <v>198</v>
      </c>
      <c r="H32" s="40" t="s">
        <v>253</v>
      </c>
      <c r="I32" s="40" t="s">
        <v>261</v>
      </c>
      <c r="J32" s="40" t="s">
        <v>8</v>
      </c>
      <c r="K32" s="40" t="s">
        <v>250</v>
      </c>
      <c r="L32" s="40" t="s">
        <v>191</v>
      </c>
    </row>
    <row r="33" customFormat="false" ht="26.25" hidden="false" customHeight="true" outlineLevel="0" collapsed="false">
      <c r="A33" s="40" t="s">
        <v>86</v>
      </c>
      <c r="B33" s="40" t="s">
        <v>200</v>
      </c>
      <c r="C33" s="41" t="s">
        <v>244</v>
      </c>
      <c r="D33" s="40" t="s">
        <v>184</v>
      </c>
      <c r="E33" s="40" t="s">
        <v>41</v>
      </c>
      <c r="F33" s="41" t="s">
        <v>263</v>
      </c>
      <c r="G33" s="40" t="s">
        <v>202</v>
      </c>
      <c r="H33" s="40" t="s">
        <v>247</v>
      </c>
      <c r="I33" s="40" t="s">
        <v>264</v>
      </c>
      <c r="J33" s="40" t="s">
        <v>249</v>
      </c>
      <c r="K33" s="40" t="s">
        <v>250</v>
      </c>
      <c r="L33" s="40" t="s">
        <v>191</v>
      </c>
    </row>
    <row r="34" customFormat="false" ht="26.25" hidden="false" customHeight="true" outlineLevel="0" collapsed="false">
      <c r="A34" s="40" t="s">
        <v>86</v>
      </c>
      <c r="B34" s="40" t="s">
        <v>265</v>
      </c>
      <c r="C34" s="41" t="s">
        <v>252</v>
      </c>
      <c r="D34" s="40" t="s">
        <v>184</v>
      </c>
      <c r="E34" s="40" t="s">
        <v>41</v>
      </c>
      <c r="F34" s="41" t="s">
        <v>263</v>
      </c>
      <c r="G34" s="40" t="s">
        <v>202</v>
      </c>
      <c r="H34" s="40" t="s">
        <v>253</v>
      </c>
      <c r="I34" s="40" t="s">
        <v>264</v>
      </c>
      <c r="J34" s="40" t="s">
        <v>8</v>
      </c>
      <c r="K34" s="40" t="s">
        <v>250</v>
      </c>
      <c r="L34" s="40" t="s">
        <v>191</v>
      </c>
    </row>
    <row r="35" customFormat="false" ht="26.25" hidden="false" customHeight="true" outlineLevel="0" collapsed="false">
      <c r="A35" s="40" t="s">
        <v>86</v>
      </c>
      <c r="B35" s="40" t="s">
        <v>209</v>
      </c>
      <c r="C35" s="41" t="s">
        <v>244</v>
      </c>
      <c r="D35" s="40" t="s">
        <v>184</v>
      </c>
      <c r="E35" s="40" t="s">
        <v>42</v>
      </c>
      <c r="F35" s="41" t="s">
        <v>266</v>
      </c>
      <c r="G35" s="40" t="s">
        <v>207</v>
      </c>
      <c r="H35" s="40" t="s">
        <v>247</v>
      </c>
      <c r="I35" s="40" t="s">
        <v>267</v>
      </c>
      <c r="J35" s="40" t="s">
        <v>249</v>
      </c>
      <c r="K35" s="40" t="s">
        <v>250</v>
      </c>
      <c r="L35" s="40" t="s">
        <v>191</v>
      </c>
    </row>
    <row r="36" customFormat="false" ht="26.25" hidden="false" customHeight="true" outlineLevel="0" collapsed="false">
      <c r="A36" s="40" t="s">
        <v>86</v>
      </c>
      <c r="B36" s="40" t="s">
        <v>268</v>
      </c>
      <c r="C36" s="41" t="s">
        <v>252</v>
      </c>
      <c r="D36" s="40" t="s">
        <v>184</v>
      </c>
      <c r="E36" s="40" t="s">
        <v>42</v>
      </c>
      <c r="F36" s="41" t="s">
        <v>266</v>
      </c>
      <c r="G36" s="40" t="s">
        <v>207</v>
      </c>
      <c r="H36" s="40" t="s">
        <v>253</v>
      </c>
      <c r="I36" s="40" t="s">
        <v>267</v>
      </c>
      <c r="J36" s="40" t="s">
        <v>8</v>
      </c>
      <c r="K36" s="40" t="s">
        <v>250</v>
      </c>
      <c r="L36" s="40" t="s">
        <v>191</v>
      </c>
    </row>
    <row r="37" customFormat="false" ht="26.25" hidden="false" customHeight="true" outlineLevel="0" collapsed="false">
      <c r="A37" s="40" t="s">
        <v>86</v>
      </c>
      <c r="B37" s="40" t="s">
        <v>214</v>
      </c>
      <c r="C37" s="41" t="s">
        <v>244</v>
      </c>
      <c r="D37" s="40" t="s">
        <v>184</v>
      </c>
      <c r="E37" s="40" t="s">
        <v>43</v>
      </c>
      <c r="F37" s="41" t="s">
        <v>269</v>
      </c>
      <c r="G37" s="40" t="s">
        <v>212</v>
      </c>
      <c r="H37" s="40" t="s">
        <v>247</v>
      </c>
      <c r="I37" s="40" t="s">
        <v>270</v>
      </c>
      <c r="J37" s="40" t="s">
        <v>249</v>
      </c>
      <c r="K37" s="40" t="s">
        <v>250</v>
      </c>
      <c r="L37" s="40" t="s">
        <v>191</v>
      </c>
    </row>
    <row r="38" customFormat="false" ht="26.25" hidden="false" customHeight="true" outlineLevel="0" collapsed="false">
      <c r="A38" s="40" t="s">
        <v>86</v>
      </c>
      <c r="B38" s="40" t="s">
        <v>271</v>
      </c>
      <c r="C38" s="41" t="s">
        <v>252</v>
      </c>
      <c r="D38" s="40" t="s">
        <v>184</v>
      </c>
      <c r="E38" s="40" t="s">
        <v>43</v>
      </c>
      <c r="F38" s="41" t="s">
        <v>269</v>
      </c>
      <c r="G38" s="40" t="s">
        <v>212</v>
      </c>
      <c r="H38" s="40" t="s">
        <v>253</v>
      </c>
      <c r="I38" s="40" t="s">
        <v>270</v>
      </c>
      <c r="J38" s="40" t="s">
        <v>8</v>
      </c>
      <c r="K38" s="40" t="s">
        <v>250</v>
      </c>
      <c r="L38" s="40" t="s">
        <v>191</v>
      </c>
    </row>
    <row r="39" customFormat="false" ht="26.25" hidden="false" customHeight="true" outlineLevel="0" collapsed="false">
      <c r="A39" s="40" t="s">
        <v>86</v>
      </c>
      <c r="B39" s="40" t="s">
        <v>219</v>
      </c>
      <c r="C39" s="41" t="s">
        <v>244</v>
      </c>
      <c r="D39" s="40" t="s">
        <v>184</v>
      </c>
      <c r="E39" s="40" t="s">
        <v>44</v>
      </c>
      <c r="F39" s="41" t="s">
        <v>272</v>
      </c>
      <c r="G39" s="40" t="s">
        <v>217</v>
      </c>
      <c r="H39" s="40" t="s">
        <v>247</v>
      </c>
      <c r="I39" s="40" t="s">
        <v>273</v>
      </c>
      <c r="J39" s="40" t="s">
        <v>249</v>
      </c>
      <c r="K39" s="40" t="s">
        <v>250</v>
      </c>
      <c r="L39" s="40" t="s">
        <v>191</v>
      </c>
    </row>
    <row r="40" customFormat="false" ht="26.25" hidden="false" customHeight="true" outlineLevel="0" collapsed="false">
      <c r="A40" s="40" t="s">
        <v>86</v>
      </c>
      <c r="B40" s="40" t="s">
        <v>274</v>
      </c>
      <c r="C40" s="41" t="s">
        <v>252</v>
      </c>
      <c r="D40" s="40" t="s">
        <v>184</v>
      </c>
      <c r="E40" s="40" t="s">
        <v>44</v>
      </c>
      <c r="F40" s="41" t="s">
        <v>272</v>
      </c>
      <c r="G40" s="40" t="s">
        <v>217</v>
      </c>
      <c r="H40" s="40" t="s">
        <v>253</v>
      </c>
      <c r="I40" s="40" t="s">
        <v>273</v>
      </c>
      <c r="J40" s="40" t="s">
        <v>8</v>
      </c>
      <c r="K40" s="40" t="s">
        <v>250</v>
      </c>
      <c r="L40" s="40" t="s">
        <v>191</v>
      </c>
    </row>
    <row r="41" customFormat="false" ht="26.25" hidden="false" customHeight="true" outlineLevel="0" collapsed="false">
      <c r="A41" s="40" t="s">
        <v>86</v>
      </c>
      <c r="B41" s="40" t="s">
        <v>224</v>
      </c>
      <c r="C41" s="41" t="s">
        <v>244</v>
      </c>
      <c r="D41" s="40" t="s">
        <v>184</v>
      </c>
      <c r="E41" s="40" t="s">
        <v>45</v>
      </c>
      <c r="F41" s="41" t="s">
        <v>221</v>
      </c>
      <c r="G41" s="40" t="s">
        <v>222</v>
      </c>
      <c r="H41" s="40" t="s">
        <v>247</v>
      </c>
      <c r="I41" s="40" t="s">
        <v>223</v>
      </c>
      <c r="J41" s="40" t="s">
        <v>249</v>
      </c>
      <c r="K41" s="40" t="s">
        <v>275</v>
      </c>
      <c r="L41" s="40" t="s">
        <v>191</v>
      </c>
    </row>
    <row r="42" customFormat="false" ht="26.25" hidden="false" customHeight="true" outlineLevel="0" collapsed="false">
      <c r="A42" s="40" t="s">
        <v>86</v>
      </c>
      <c r="B42" s="40" t="s">
        <v>276</v>
      </c>
      <c r="C42" s="41" t="s">
        <v>252</v>
      </c>
      <c r="D42" s="40" t="s">
        <v>184</v>
      </c>
      <c r="E42" s="40" t="s">
        <v>45</v>
      </c>
      <c r="F42" s="41" t="s">
        <v>221</v>
      </c>
      <c r="G42" s="40" t="s">
        <v>222</v>
      </c>
      <c r="H42" s="40" t="s">
        <v>253</v>
      </c>
      <c r="I42" s="40" t="s">
        <v>223</v>
      </c>
      <c r="J42" s="40" t="s">
        <v>8</v>
      </c>
      <c r="K42" s="40" t="s">
        <v>275</v>
      </c>
      <c r="L42" s="40" t="s">
        <v>191</v>
      </c>
    </row>
    <row r="43" customFormat="false" ht="30.75" hidden="false" customHeight="true" outlineLevel="0" collapsed="false">
      <c r="A43" s="40" t="s">
        <v>86</v>
      </c>
      <c r="B43" s="40" t="s">
        <v>277</v>
      </c>
      <c r="C43" s="41" t="s">
        <v>244</v>
      </c>
      <c r="D43" s="40" t="s">
        <v>278</v>
      </c>
      <c r="E43" s="40" t="s">
        <v>46</v>
      </c>
      <c r="F43" s="41" t="s">
        <v>279</v>
      </c>
      <c r="G43" s="40" t="s">
        <v>280</v>
      </c>
      <c r="H43" s="40" t="s">
        <v>247</v>
      </c>
      <c r="I43" s="40" t="s">
        <v>281</v>
      </c>
      <c r="J43" s="40" t="s">
        <v>249</v>
      </c>
      <c r="K43" s="40" t="s">
        <v>282</v>
      </c>
      <c r="L43" s="40" t="s">
        <v>191</v>
      </c>
    </row>
    <row r="44" customFormat="false" ht="30.75" hidden="false" customHeight="true" outlineLevel="0" collapsed="false">
      <c r="A44" s="40" t="s">
        <v>86</v>
      </c>
      <c r="B44" s="40" t="s">
        <v>283</v>
      </c>
      <c r="C44" s="41" t="s">
        <v>252</v>
      </c>
      <c r="D44" s="40" t="s">
        <v>278</v>
      </c>
      <c r="E44" s="40" t="s">
        <v>46</v>
      </c>
      <c r="F44" s="41" t="s">
        <v>279</v>
      </c>
      <c r="G44" s="40" t="s">
        <v>280</v>
      </c>
      <c r="H44" s="40" t="s">
        <v>253</v>
      </c>
      <c r="I44" s="40" t="s">
        <v>281</v>
      </c>
      <c r="J44" s="40" t="s">
        <v>8</v>
      </c>
      <c r="K44" s="40" t="s">
        <v>282</v>
      </c>
      <c r="L44" s="40" t="s">
        <v>191</v>
      </c>
    </row>
    <row r="45" customFormat="false" ht="30.75" hidden="false" customHeight="true" outlineLevel="0" collapsed="false">
      <c r="A45" s="40" t="s">
        <v>86</v>
      </c>
      <c r="B45" s="40" t="s">
        <v>229</v>
      </c>
      <c r="C45" s="41" t="s">
        <v>244</v>
      </c>
      <c r="D45" s="40" t="s">
        <v>278</v>
      </c>
      <c r="E45" s="40" t="s">
        <v>47</v>
      </c>
      <c r="F45" s="41" t="s">
        <v>284</v>
      </c>
      <c r="G45" s="40" t="s">
        <v>285</v>
      </c>
      <c r="H45" s="40" t="s">
        <v>247</v>
      </c>
      <c r="I45" s="40" t="s">
        <v>286</v>
      </c>
      <c r="J45" s="40" t="s">
        <v>249</v>
      </c>
      <c r="K45" s="40" t="s">
        <v>287</v>
      </c>
      <c r="L45" s="40" t="s">
        <v>191</v>
      </c>
    </row>
    <row r="46" customFormat="false" ht="30.75" hidden="false" customHeight="true" outlineLevel="0" collapsed="false">
      <c r="A46" s="40" t="s">
        <v>86</v>
      </c>
      <c r="B46" s="40" t="s">
        <v>288</v>
      </c>
      <c r="C46" s="41" t="s">
        <v>252</v>
      </c>
      <c r="D46" s="40" t="s">
        <v>278</v>
      </c>
      <c r="E46" s="40" t="s">
        <v>47</v>
      </c>
      <c r="F46" s="41" t="s">
        <v>284</v>
      </c>
      <c r="G46" s="40" t="s">
        <v>285</v>
      </c>
      <c r="H46" s="40" t="s">
        <v>253</v>
      </c>
      <c r="I46" s="40" t="s">
        <v>286</v>
      </c>
      <c r="J46" s="40" t="s">
        <v>8</v>
      </c>
      <c r="K46" s="40" t="s">
        <v>287</v>
      </c>
      <c r="L46" s="40" t="s">
        <v>191</v>
      </c>
    </row>
    <row r="47" customFormat="false" ht="30.75" hidden="false" customHeight="true" outlineLevel="0" collapsed="false">
      <c r="A47" s="40" t="s">
        <v>86</v>
      </c>
      <c r="B47" s="40" t="s">
        <v>289</v>
      </c>
      <c r="C47" s="41" t="s">
        <v>244</v>
      </c>
      <c r="D47" s="40" t="s">
        <v>278</v>
      </c>
      <c r="E47" s="40" t="s">
        <v>48</v>
      </c>
      <c r="F47" s="41" t="s">
        <v>290</v>
      </c>
      <c r="G47" s="40" t="s">
        <v>291</v>
      </c>
      <c r="H47" s="40" t="s">
        <v>247</v>
      </c>
      <c r="I47" s="40" t="s">
        <v>292</v>
      </c>
      <c r="J47" s="40" t="s">
        <v>249</v>
      </c>
      <c r="K47" s="40" t="s">
        <v>293</v>
      </c>
      <c r="L47" s="40" t="s">
        <v>191</v>
      </c>
    </row>
    <row r="48" customFormat="false" ht="30.75" hidden="false" customHeight="true" outlineLevel="0" collapsed="false">
      <c r="A48" s="40" t="s">
        <v>86</v>
      </c>
      <c r="B48" s="40" t="s">
        <v>294</v>
      </c>
      <c r="C48" s="41" t="s">
        <v>252</v>
      </c>
      <c r="D48" s="40" t="s">
        <v>278</v>
      </c>
      <c r="E48" s="40" t="s">
        <v>48</v>
      </c>
      <c r="F48" s="41" t="s">
        <v>290</v>
      </c>
      <c r="G48" s="40" t="s">
        <v>291</v>
      </c>
      <c r="H48" s="40" t="s">
        <v>253</v>
      </c>
      <c r="I48" s="40" t="s">
        <v>292</v>
      </c>
      <c r="J48" s="40" t="s">
        <v>8</v>
      </c>
      <c r="K48" s="40" t="s">
        <v>293</v>
      </c>
      <c r="L48" s="40" t="s">
        <v>191</v>
      </c>
    </row>
    <row r="49" customFormat="false" ht="26.25" hidden="false" customHeight="true" outlineLevel="0" collapsed="false">
      <c r="A49" s="40" t="s">
        <v>86</v>
      </c>
      <c r="B49" s="40" t="s">
        <v>233</v>
      </c>
      <c r="C49" s="41" t="s">
        <v>244</v>
      </c>
      <c r="D49" s="40" t="s">
        <v>184</v>
      </c>
      <c r="E49" s="40" t="s">
        <v>49</v>
      </c>
      <c r="F49" s="41" t="s">
        <v>231</v>
      </c>
      <c r="G49" s="40" t="s">
        <v>212</v>
      </c>
      <c r="H49" s="40" t="s">
        <v>247</v>
      </c>
      <c r="I49" s="40" t="s">
        <v>232</v>
      </c>
      <c r="J49" s="40" t="s">
        <v>249</v>
      </c>
      <c r="K49" s="40" t="s">
        <v>275</v>
      </c>
      <c r="L49" s="40" t="s">
        <v>191</v>
      </c>
    </row>
    <row r="50" customFormat="false" ht="26.25" hidden="false" customHeight="true" outlineLevel="0" collapsed="false">
      <c r="A50" s="40" t="s">
        <v>86</v>
      </c>
      <c r="B50" s="40" t="s">
        <v>295</v>
      </c>
      <c r="C50" s="41" t="s">
        <v>252</v>
      </c>
      <c r="D50" s="40" t="s">
        <v>184</v>
      </c>
      <c r="E50" s="40" t="s">
        <v>49</v>
      </c>
      <c r="F50" s="41" t="s">
        <v>231</v>
      </c>
      <c r="G50" s="40" t="s">
        <v>212</v>
      </c>
      <c r="H50" s="40" t="s">
        <v>253</v>
      </c>
      <c r="I50" s="40" t="s">
        <v>232</v>
      </c>
      <c r="J50" s="40" t="s">
        <v>8</v>
      </c>
      <c r="K50" s="40" t="s">
        <v>275</v>
      </c>
      <c r="L50" s="40" t="s">
        <v>191</v>
      </c>
    </row>
    <row r="51" customFormat="false" ht="30.75" hidden="false" customHeight="true" outlineLevel="0" collapsed="false">
      <c r="A51" s="40" t="s">
        <v>86</v>
      </c>
      <c r="B51" s="40" t="s">
        <v>296</v>
      </c>
      <c r="C51" s="41" t="s">
        <v>244</v>
      </c>
      <c r="D51" s="40" t="s">
        <v>278</v>
      </c>
      <c r="E51" s="40" t="s">
        <v>50</v>
      </c>
      <c r="F51" s="41" t="s">
        <v>297</v>
      </c>
      <c r="G51" s="40" t="s">
        <v>298</v>
      </c>
      <c r="H51" s="40" t="s">
        <v>247</v>
      </c>
      <c r="I51" s="40" t="s">
        <v>299</v>
      </c>
      <c r="J51" s="40" t="s">
        <v>249</v>
      </c>
      <c r="K51" s="40" t="s">
        <v>282</v>
      </c>
      <c r="L51" s="40" t="s">
        <v>191</v>
      </c>
    </row>
    <row r="52" customFormat="false" ht="30.75" hidden="false" customHeight="true" outlineLevel="0" collapsed="false">
      <c r="A52" s="40" t="s">
        <v>86</v>
      </c>
      <c r="B52" s="40" t="s">
        <v>300</v>
      </c>
      <c r="C52" s="41" t="s">
        <v>252</v>
      </c>
      <c r="D52" s="40" t="s">
        <v>278</v>
      </c>
      <c r="E52" s="40" t="s">
        <v>50</v>
      </c>
      <c r="F52" s="41" t="s">
        <v>297</v>
      </c>
      <c r="G52" s="40" t="s">
        <v>298</v>
      </c>
      <c r="H52" s="40" t="s">
        <v>253</v>
      </c>
      <c r="I52" s="40" t="s">
        <v>299</v>
      </c>
      <c r="J52" s="40" t="s">
        <v>8</v>
      </c>
      <c r="K52" s="40" t="s">
        <v>282</v>
      </c>
      <c r="L52" s="40" t="s">
        <v>191</v>
      </c>
    </row>
    <row r="53" customFormat="false" ht="30.75" hidden="false" customHeight="true" outlineLevel="0" collapsed="false">
      <c r="A53" s="40" t="s">
        <v>86</v>
      </c>
      <c r="B53" s="40" t="s">
        <v>238</v>
      </c>
      <c r="C53" s="41" t="s">
        <v>244</v>
      </c>
      <c r="D53" s="40" t="s">
        <v>278</v>
      </c>
      <c r="E53" s="40" t="s">
        <v>51</v>
      </c>
      <c r="F53" s="41" t="s">
        <v>301</v>
      </c>
      <c r="G53" s="40" t="s">
        <v>302</v>
      </c>
      <c r="H53" s="40" t="s">
        <v>247</v>
      </c>
      <c r="I53" s="40" t="s">
        <v>303</v>
      </c>
      <c r="J53" s="40" t="s">
        <v>249</v>
      </c>
      <c r="K53" s="40" t="s">
        <v>287</v>
      </c>
      <c r="L53" s="40" t="s">
        <v>191</v>
      </c>
    </row>
    <row r="54" customFormat="false" ht="30.75" hidden="false" customHeight="true" outlineLevel="0" collapsed="false">
      <c r="A54" s="40" t="s">
        <v>86</v>
      </c>
      <c r="B54" s="40" t="s">
        <v>304</v>
      </c>
      <c r="C54" s="41" t="s">
        <v>252</v>
      </c>
      <c r="D54" s="40" t="s">
        <v>278</v>
      </c>
      <c r="E54" s="40" t="s">
        <v>51</v>
      </c>
      <c r="F54" s="41" t="s">
        <v>301</v>
      </c>
      <c r="G54" s="40" t="s">
        <v>302</v>
      </c>
      <c r="H54" s="40" t="s">
        <v>253</v>
      </c>
      <c r="I54" s="40" t="s">
        <v>303</v>
      </c>
      <c r="J54" s="40" t="s">
        <v>8</v>
      </c>
      <c r="K54" s="40" t="s">
        <v>287</v>
      </c>
      <c r="L54" s="40" t="s">
        <v>191</v>
      </c>
    </row>
    <row r="55" customFormat="false" ht="30.75" hidden="false" customHeight="true" outlineLevel="0" collapsed="false">
      <c r="A55" s="40" t="s">
        <v>86</v>
      </c>
      <c r="B55" s="40" t="s">
        <v>305</v>
      </c>
      <c r="C55" s="41" t="s">
        <v>244</v>
      </c>
      <c r="D55" s="40" t="s">
        <v>278</v>
      </c>
      <c r="E55" s="40" t="s">
        <v>52</v>
      </c>
      <c r="F55" s="41" t="s">
        <v>306</v>
      </c>
      <c r="G55" s="40" t="s">
        <v>307</v>
      </c>
      <c r="H55" s="40" t="s">
        <v>247</v>
      </c>
      <c r="I55" s="40" t="s">
        <v>308</v>
      </c>
      <c r="J55" s="40" t="s">
        <v>249</v>
      </c>
      <c r="K55" s="40" t="s">
        <v>293</v>
      </c>
      <c r="L55" s="40" t="s">
        <v>191</v>
      </c>
    </row>
    <row r="56" customFormat="false" ht="30.75" hidden="false" customHeight="true" outlineLevel="0" collapsed="false">
      <c r="A56" s="40" t="s">
        <v>86</v>
      </c>
      <c r="B56" s="40" t="s">
        <v>309</v>
      </c>
      <c r="C56" s="41" t="s">
        <v>252</v>
      </c>
      <c r="D56" s="40" t="s">
        <v>278</v>
      </c>
      <c r="E56" s="40" t="s">
        <v>52</v>
      </c>
      <c r="F56" s="41" t="s">
        <v>306</v>
      </c>
      <c r="G56" s="40" t="s">
        <v>307</v>
      </c>
      <c r="H56" s="40" t="s">
        <v>253</v>
      </c>
      <c r="I56" s="40" t="s">
        <v>308</v>
      </c>
      <c r="J56" s="40" t="s">
        <v>8</v>
      </c>
      <c r="K56" s="40" t="s">
        <v>293</v>
      </c>
      <c r="L56" s="40" t="s">
        <v>191</v>
      </c>
    </row>
    <row r="57" customFormat="false" ht="26.25" hidden="false" customHeight="true" outlineLevel="0" collapsed="false">
      <c r="A57" s="40" t="s">
        <v>86</v>
      </c>
      <c r="B57" s="40" t="s">
        <v>242</v>
      </c>
      <c r="C57" s="41" t="s">
        <v>244</v>
      </c>
      <c r="D57" s="40" t="s">
        <v>184</v>
      </c>
      <c r="E57" s="40" t="s">
        <v>53</v>
      </c>
      <c r="F57" s="41" t="s">
        <v>240</v>
      </c>
      <c r="G57" s="40" t="s">
        <v>217</v>
      </c>
      <c r="H57" s="40" t="s">
        <v>247</v>
      </c>
      <c r="I57" s="40" t="s">
        <v>241</v>
      </c>
      <c r="J57" s="40" t="s">
        <v>249</v>
      </c>
      <c r="K57" s="40" t="s">
        <v>275</v>
      </c>
      <c r="L57" s="40" t="s">
        <v>191</v>
      </c>
    </row>
    <row r="58" customFormat="false" ht="26.25" hidden="false" customHeight="true" outlineLevel="0" collapsed="false">
      <c r="A58" s="40" t="s">
        <v>86</v>
      </c>
      <c r="B58" s="40" t="s">
        <v>310</v>
      </c>
      <c r="C58" s="41" t="s">
        <v>252</v>
      </c>
      <c r="D58" s="40" t="s">
        <v>184</v>
      </c>
      <c r="E58" s="40" t="s">
        <v>53</v>
      </c>
      <c r="F58" s="41" t="s">
        <v>240</v>
      </c>
      <c r="G58" s="40" t="s">
        <v>217</v>
      </c>
      <c r="H58" s="40" t="s">
        <v>253</v>
      </c>
      <c r="I58" s="40" t="s">
        <v>241</v>
      </c>
      <c r="J58" s="40" t="s">
        <v>8</v>
      </c>
      <c r="K58" s="40" t="s">
        <v>275</v>
      </c>
      <c r="L58" s="40" t="s">
        <v>191</v>
      </c>
    </row>
    <row r="59" customFormat="false" ht="26.25" hidden="false" customHeight="true" outlineLevel="0" collapsed="false">
      <c r="A59" s="40" t="s">
        <v>86</v>
      </c>
      <c r="B59" s="40" t="s">
        <v>311</v>
      </c>
      <c r="C59" s="41" t="s">
        <v>312</v>
      </c>
      <c r="D59" s="40" t="s">
        <v>184</v>
      </c>
      <c r="E59" s="40" t="s">
        <v>37</v>
      </c>
      <c r="F59" s="40" t="s">
        <v>245</v>
      </c>
      <c r="G59" s="40" t="s">
        <v>246</v>
      </c>
      <c r="H59" s="40" t="s">
        <v>247</v>
      </c>
      <c r="I59" s="40" t="s">
        <v>248</v>
      </c>
      <c r="J59" s="40" t="s">
        <v>249</v>
      </c>
      <c r="K59" s="40" t="s">
        <v>250</v>
      </c>
      <c r="L59" s="40" t="s">
        <v>191</v>
      </c>
    </row>
    <row r="60" customFormat="false" ht="26.25" hidden="false" customHeight="true" outlineLevel="0" collapsed="false">
      <c r="A60" s="40" t="s">
        <v>86</v>
      </c>
      <c r="B60" s="40" t="s">
        <v>313</v>
      </c>
      <c r="C60" s="41" t="s">
        <v>314</v>
      </c>
      <c r="D60" s="40" t="s">
        <v>184</v>
      </c>
      <c r="E60" s="40" t="s">
        <v>37</v>
      </c>
      <c r="F60" s="40" t="s">
        <v>245</v>
      </c>
      <c r="G60" s="40" t="s">
        <v>246</v>
      </c>
      <c r="H60" s="40" t="s">
        <v>253</v>
      </c>
      <c r="I60" s="40" t="s">
        <v>248</v>
      </c>
      <c r="J60" s="40" t="s">
        <v>8</v>
      </c>
      <c r="K60" s="40" t="s">
        <v>250</v>
      </c>
      <c r="L60" s="40" t="s">
        <v>191</v>
      </c>
    </row>
    <row r="61" customFormat="false" ht="26.25" hidden="false" customHeight="true" outlineLevel="0" collapsed="false">
      <c r="A61" s="40" t="s">
        <v>86</v>
      </c>
      <c r="B61" s="40" t="s">
        <v>315</v>
      </c>
      <c r="C61" s="41" t="s">
        <v>312</v>
      </c>
      <c r="D61" s="40" t="s">
        <v>184</v>
      </c>
      <c r="E61" s="40" t="s">
        <v>38</v>
      </c>
      <c r="F61" s="40" t="s">
        <v>254</v>
      </c>
      <c r="G61" s="40" t="s">
        <v>186</v>
      </c>
      <c r="H61" s="40" t="s">
        <v>247</v>
      </c>
      <c r="I61" s="40" t="s">
        <v>255</v>
      </c>
      <c r="J61" s="40" t="s">
        <v>249</v>
      </c>
      <c r="K61" s="40" t="s">
        <v>250</v>
      </c>
      <c r="L61" s="40" t="s">
        <v>191</v>
      </c>
    </row>
    <row r="62" customFormat="false" ht="26.25" hidden="false" customHeight="true" outlineLevel="0" collapsed="false">
      <c r="A62" s="40" t="s">
        <v>86</v>
      </c>
      <c r="B62" s="40" t="s">
        <v>316</v>
      </c>
      <c r="C62" s="41" t="s">
        <v>314</v>
      </c>
      <c r="D62" s="40" t="s">
        <v>184</v>
      </c>
      <c r="E62" s="40" t="s">
        <v>38</v>
      </c>
      <c r="F62" s="40" t="s">
        <v>254</v>
      </c>
      <c r="G62" s="40" t="s">
        <v>186</v>
      </c>
      <c r="H62" s="40" t="s">
        <v>253</v>
      </c>
      <c r="I62" s="40" t="s">
        <v>255</v>
      </c>
      <c r="J62" s="40" t="s">
        <v>8</v>
      </c>
      <c r="K62" s="40" t="s">
        <v>250</v>
      </c>
      <c r="L62" s="40" t="s">
        <v>191</v>
      </c>
    </row>
    <row r="63" customFormat="false" ht="26.25" hidden="false" customHeight="true" outlineLevel="0" collapsed="false">
      <c r="A63" s="40" t="s">
        <v>86</v>
      </c>
      <c r="B63" s="40" t="s">
        <v>317</v>
      </c>
      <c r="C63" s="41" t="s">
        <v>312</v>
      </c>
      <c r="D63" s="40" t="s">
        <v>184</v>
      </c>
      <c r="E63" s="40" t="s">
        <v>39</v>
      </c>
      <c r="F63" s="41" t="s">
        <v>257</v>
      </c>
      <c r="G63" s="40" t="s">
        <v>194</v>
      </c>
      <c r="H63" s="40" t="s">
        <v>247</v>
      </c>
      <c r="I63" s="40" t="s">
        <v>258</v>
      </c>
      <c r="J63" s="40" t="s">
        <v>249</v>
      </c>
      <c r="K63" s="40" t="s">
        <v>250</v>
      </c>
      <c r="L63" s="40" t="s">
        <v>191</v>
      </c>
    </row>
    <row r="64" customFormat="false" ht="26.25" hidden="false" customHeight="true" outlineLevel="0" collapsed="false">
      <c r="A64" s="40" t="s">
        <v>86</v>
      </c>
      <c r="B64" s="40" t="s">
        <v>318</v>
      </c>
      <c r="C64" s="41" t="s">
        <v>314</v>
      </c>
      <c r="D64" s="40" t="s">
        <v>184</v>
      </c>
      <c r="E64" s="40" t="s">
        <v>39</v>
      </c>
      <c r="F64" s="41" t="s">
        <v>257</v>
      </c>
      <c r="G64" s="40" t="s">
        <v>194</v>
      </c>
      <c r="H64" s="40" t="s">
        <v>253</v>
      </c>
      <c r="I64" s="40" t="s">
        <v>258</v>
      </c>
      <c r="J64" s="40" t="s">
        <v>8</v>
      </c>
      <c r="K64" s="40" t="s">
        <v>250</v>
      </c>
      <c r="L64" s="40" t="s">
        <v>191</v>
      </c>
    </row>
    <row r="65" customFormat="false" ht="26.25" hidden="false" customHeight="true" outlineLevel="0" collapsed="false">
      <c r="A65" s="40" t="s">
        <v>86</v>
      </c>
      <c r="B65" s="40" t="s">
        <v>319</v>
      </c>
      <c r="C65" s="41" t="s">
        <v>312</v>
      </c>
      <c r="D65" s="40" t="s">
        <v>184</v>
      </c>
      <c r="E65" s="40" t="s">
        <v>40</v>
      </c>
      <c r="F65" s="41" t="s">
        <v>260</v>
      </c>
      <c r="G65" s="40" t="s">
        <v>198</v>
      </c>
      <c r="H65" s="40" t="s">
        <v>247</v>
      </c>
      <c r="I65" s="40" t="s">
        <v>261</v>
      </c>
      <c r="J65" s="40" t="s">
        <v>249</v>
      </c>
      <c r="K65" s="40" t="s">
        <v>250</v>
      </c>
      <c r="L65" s="40" t="s">
        <v>191</v>
      </c>
    </row>
    <row r="66" customFormat="false" ht="26.25" hidden="false" customHeight="true" outlineLevel="0" collapsed="false">
      <c r="A66" s="40" t="s">
        <v>86</v>
      </c>
      <c r="B66" s="40" t="s">
        <v>320</v>
      </c>
      <c r="C66" s="41" t="s">
        <v>314</v>
      </c>
      <c r="D66" s="40" t="s">
        <v>184</v>
      </c>
      <c r="E66" s="40" t="s">
        <v>40</v>
      </c>
      <c r="F66" s="41" t="s">
        <v>260</v>
      </c>
      <c r="G66" s="40" t="s">
        <v>198</v>
      </c>
      <c r="H66" s="40" t="s">
        <v>253</v>
      </c>
      <c r="I66" s="40" t="s">
        <v>261</v>
      </c>
      <c r="J66" s="40" t="s">
        <v>8</v>
      </c>
      <c r="K66" s="40" t="s">
        <v>250</v>
      </c>
      <c r="L66" s="40" t="s">
        <v>191</v>
      </c>
    </row>
    <row r="67" customFormat="false" ht="26.25" hidden="false" customHeight="true" outlineLevel="0" collapsed="false">
      <c r="A67" s="40" t="s">
        <v>86</v>
      </c>
      <c r="B67" s="40" t="s">
        <v>321</v>
      </c>
      <c r="C67" s="41" t="s">
        <v>312</v>
      </c>
      <c r="D67" s="40" t="s">
        <v>184</v>
      </c>
      <c r="E67" s="40" t="s">
        <v>41</v>
      </c>
      <c r="F67" s="41" t="s">
        <v>263</v>
      </c>
      <c r="G67" s="40" t="s">
        <v>202</v>
      </c>
      <c r="H67" s="40" t="s">
        <v>247</v>
      </c>
      <c r="I67" s="40" t="s">
        <v>264</v>
      </c>
      <c r="J67" s="40" t="s">
        <v>249</v>
      </c>
      <c r="K67" s="40" t="s">
        <v>250</v>
      </c>
      <c r="L67" s="40" t="s">
        <v>191</v>
      </c>
    </row>
    <row r="68" customFormat="false" ht="26.25" hidden="false" customHeight="true" outlineLevel="0" collapsed="false">
      <c r="A68" s="40" t="s">
        <v>86</v>
      </c>
      <c r="B68" s="40" t="s">
        <v>322</v>
      </c>
      <c r="C68" s="41" t="s">
        <v>314</v>
      </c>
      <c r="D68" s="40" t="s">
        <v>184</v>
      </c>
      <c r="E68" s="40" t="s">
        <v>41</v>
      </c>
      <c r="F68" s="41" t="s">
        <v>263</v>
      </c>
      <c r="G68" s="40" t="s">
        <v>202</v>
      </c>
      <c r="H68" s="40" t="s">
        <v>253</v>
      </c>
      <c r="I68" s="40" t="s">
        <v>264</v>
      </c>
      <c r="J68" s="40" t="s">
        <v>8</v>
      </c>
      <c r="K68" s="40" t="s">
        <v>250</v>
      </c>
      <c r="L68" s="40" t="s">
        <v>191</v>
      </c>
    </row>
    <row r="69" customFormat="false" ht="26.25" hidden="false" customHeight="true" outlineLevel="0" collapsed="false">
      <c r="A69" s="40" t="s">
        <v>86</v>
      </c>
      <c r="B69" s="40" t="s">
        <v>323</v>
      </c>
      <c r="C69" s="41" t="s">
        <v>312</v>
      </c>
      <c r="D69" s="40" t="s">
        <v>184</v>
      </c>
      <c r="E69" s="40" t="s">
        <v>42</v>
      </c>
      <c r="F69" s="41" t="s">
        <v>266</v>
      </c>
      <c r="G69" s="40" t="s">
        <v>207</v>
      </c>
      <c r="H69" s="40" t="s">
        <v>247</v>
      </c>
      <c r="I69" s="40" t="s">
        <v>267</v>
      </c>
      <c r="J69" s="40" t="s">
        <v>249</v>
      </c>
      <c r="K69" s="40" t="s">
        <v>250</v>
      </c>
      <c r="L69" s="40" t="s">
        <v>191</v>
      </c>
    </row>
    <row r="70" customFormat="false" ht="26.25" hidden="false" customHeight="true" outlineLevel="0" collapsed="false">
      <c r="A70" s="40" t="s">
        <v>86</v>
      </c>
      <c r="B70" s="40" t="s">
        <v>324</v>
      </c>
      <c r="C70" s="41" t="s">
        <v>314</v>
      </c>
      <c r="D70" s="40" t="s">
        <v>184</v>
      </c>
      <c r="E70" s="40" t="s">
        <v>42</v>
      </c>
      <c r="F70" s="41" t="s">
        <v>266</v>
      </c>
      <c r="G70" s="40" t="s">
        <v>207</v>
      </c>
      <c r="H70" s="40" t="s">
        <v>253</v>
      </c>
      <c r="I70" s="40" t="s">
        <v>267</v>
      </c>
      <c r="J70" s="40" t="s">
        <v>8</v>
      </c>
      <c r="K70" s="40" t="s">
        <v>250</v>
      </c>
      <c r="L70" s="40" t="s">
        <v>191</v>
      </c>
    </row>
    <row r="71" customFormat="false" ht="26.25" hidden="false" customHeight="true" outlineLevel="0" collapsed="false">
      <c r="A71" s="40" t="s">
        <v>86</v>
      </c>
      <c r="B71" s="40" t="s">
        <v>325</v>
      </c>
      <c r="C71" s="41" t="s">
        <v>312</v>
      </c>
      <c r="D71" s="40" t="s">
        <v>184</v>
      </c>
      <c r="E71" s="40" t="s">
        <v>43</v>
      </c>
      <c r="F71" s="41" t="s">
        <v>269</v>
      </c>
      <c r="G71" s="40" t="s">
        <v>212</v>
      </c>
      <c r="H71" s="40" t="s">
        <v>247</v>
      </c>
      <c r="I71" s="40" t="s">
        <v>270</v>
      </c>
      <c r="J71" s="40" t="s">
        <v>249</v>
      </c>
      <c r="K71" s="40" t="s">
        <v>250</v>
      </c>
      <c r="L71" s="40" t="s">
        <v>191</v>
      </c>
    </row>
    <row r="72" customFormat="false" ht="26.25" hidden="false" customHeight="true" outlineLevel="0" collapsed="false">
      <c r="A72" s="40" t="s">
        <v>86</v>
      </c>
      <c r="B72" s="40" t="s">
        <v>326</v>
      </c>
      <c r="C72" s="41" t="s">
        <v>314</v>
      </c>
      <c r="D72" s="40" t="s">
        <v>184</v>
      </c>
      <c r="E72" s="40" t="s">
        <v>43</v>
      </c>
      <c r="F72" s="41" t="s">
        <v>269</v>
      </c>
      <c r="G72" s="40" t="s">
        <v>212</v>
      </c>
      <c r="H72" s="40" t="s">
        <v>253</v>
      </c>
      <c r="I72" s="40" t="s">
        <v>270</v>
      </c>
      <c r="J72" s="40" t="s">
        <v>8</v>
      </c>
      <c r="K72" s="40" t="s">
        <v>250</v>
      </c>
      <c r="L72" s="40" t="s">
        <v>191</v>
      </c>
    </row>
    <row r="73" customFormat="false" ht="26.25" hidden="false" customHeight="true" outlineLevel="0" collapsed="false">
      <c r="A73" s="40" t="s">
        <v>86</v>
      </c>
      <c r="B73" s="40" t="s">
        <v>327</v>
      </c>
      <c r="C73" s="41" t="s">
        <v>312</v>
      </c>
      <c r="D73" s="40" t="s">
        <v>184</v>
      </c>
      <c r="E73" s="40" t="s">
        <v>44</v>
      </c>
      <c r="F73" s="41" t="s">
        <v>272</v>
      </c>
      <c r="G73" s="40" t="s">
        <v>217</v>
      </c>
      <c r="H73" s="40" t="s">
        <v>247</v>
      </c>
      <c r="I73" s="40" t="s">
        <v>273</v>
      </c>
      <c r="J73" s="40" t="s">
        <v>249</v>
      </c>
      <c r="K73" s="40" t="s">
        <v>250</v>
      </c>
      <c r="L73" s="40" t="s">
        <v>191</v>
      </c>
    </row>
    <row r="74" customFormat="false" ht="26.25" hidden="false" customHeight="true" outlineLevel="0" collapsed="false">
      <c r="A74" s="40" t="s">
        <v>86</v>
      </c>
      <c r="B74" s="40" t="s">
        <v>328</v>
      </c>
      <c r="C74" s="41" t="s">
        <v>314</v>
      </c>
      <c r="D74" s="40" t="s">
        <v>184</v>
      </c>
      <c r="E74" s="40" t="s">
        <v>44</v>
      </c>
      <c r="F74" s="41" t="s">
        <v>272</v>
      </c>
      <c r="G74" s="40" t="s">
        <v>217</v>
      </c>
      <c r="H74" s="40" t="s">
        <v>253</v>
      </c>
      <c r="I74" s="40" t="s">
        <v>273</v>
      </c>
      <c r="J74" s="40" t="s">
        <v>8</v>
      </c>
      <c r="K74" s="40" t="s">
        <v>250</v>
      </c>
      <c r="L74" s="40" t="s">
        <v>191</v>
      </c>
    </row>
    <row r="75" customFormat="false" ht="26.25" hidden="false" customHeight="true" outlineLevel="0" collapsed="false">
      <c r="A75" s="40" t="s">
        <v>86</v>
      </c>
      <c r="B75" s="40" t="s">
        <v>329</v>
      </c>
      <c r="C75" s="41" t="s">
        <v>312</v>
      </c>
      <c r="D75" s="40" t="s">
        <v>184</v>
      </c>
      <c r="E75" s="40" t="s">
        <v>45</v>
      </c>
      <c r="F75" s="41" t="s">
        <v>221</v>
      </c>
      <c r="G75" s="40" t="s">
        <v>222</v>
      </c>
      <c r="H75" s="40" t="s">
        <v>247</v>
      </c>
      <c r="I75" s="40" t="s">
        <v>223</v>
      </c>
      <c r="J75" s="40" t="s">
        <v>249</v>
      </c>
      <c r="K75" s="40" t="s">
        <v>275</v>
      </c>
      <c r="L75" s="40" t="s">
        <v>191</v>
      </c>
    </row>
    <row r="76" customFormat="false" ht="26.25" hidden="false" customHeight="true" outlineLevel="0" collapsed="false">
      <c r="A76" s="40" t="s">
        <v>86</v>
      </c>
      <c r="B76" s="40" t="s">
        <v>330</v>
      </c>
      <c r="C76" s="41" t="s">
        <v>314</v>
      </c>
      <c r="D76" s="40" t="s">
        <v>184</v>
      </c>
      <c r="E76" s="40" t="s">
        <v>45</v>
      </c>
      <c r="F76" s="41" t="s">
        <v>221</v>
      </c>
      <c r="G76" s="40" t="s">
        <v>222</v>
      </c>
      <c r="H76" s="40" t="s">
        <v>253</v>
      </c>
      <c r="I76" s="40" t="s">
        <v>223</v>
      </c>
      <c r="J76" s="40" t="s">
        <v>8</v>
      </c>
      <c r="K76" s="40" t="s">
        <v>275</v>
      </c>
      <c r="L76" s="40" t="s">
        <v>191</v>
      </c>
    </row>
    <row r="77" customFormat="false" ht="30.75" hidden="false" customHeight="true" outlineLevel="0" collapsed="false">
      <c r="A77" s="40" t="s">
        <v>86</v>
      </c>
      <c r="B77" s="40" t="s">
        <v>331</v>
      </c>
      <c r="C77" s="41" t="s">
        <v>312</v>
      </c>
      <c r="D77" s="40" t="s">
        <v>278</v>
      </c>
      <c r="E77" s="40" t="s">
        <v>46</v>
      </c>
      <c r="F77" s="41" t="s">
        <v>279</v>
      </c>
      <c r="G77" s="40" t="s">
        <v>280</v>
      </c>
      <c r="H77" s="40" t="s">
        <v>247</v>
      </c>
      <c r="I77" s="40" t="s">
        <v>281</v>
      </c>
      <c r="J77" s="40" t="s">
        <v>249</v>
      </c>
      <c r="K77" s="40" t="s">
        <v>282</v>
      </c>
      <c r="L77" s="40" t="s">
        <v>191</v>
      </c>
    </row>
    <row r="78" customFormat="false" ht="30.75" hidden="false" customHeight="true" outlineLevel="0" collapsed="false">
      <c r="A78" s="40" t="s">
        <v>86</v>
      </c>
      <c r="B78" s="40" t="s">
        <v>332</v>
      </c>
      <c r="C78" s="41" t="s">
        <v>314</v>
      </c>
      <c r="D78" s="40" t="s">
        <v>278</v>
      </c>
      <c r="E78" s="40" t="s">
        <v>46</v>
      </c>
      <c r="F78" s="41" t="s">
        <v>279</v>
      </c>
      <c r="G78" s="40" t="s">
        <v>280</v>
      </c>
      <c r="H78" s="40" t="s">
        <v>253</v>
      </c>
      <c r="I78" s="40" t="s">
        <v>281</v>
      </c>
      <c r="J78" s="40" t="s">
        <v>8</v>
      </c>
      <c r="K78" s="40" t="s">
        <v>282</v>
      </c>
      <c r="L78" s="40" t="s">
        <v>191</v>
      </c>
    </row>
    <row r="79" customFormat="false" ht="30.75" hidden="false" customHeight="true" outlineLevel="0" collapsed="false">
      <c r="A79" s="40" t="s">
        <v>86</v>
      </c>
      <c r="B79" s="40" t="s">
        <v>333</v>
      </c>
      <c r="C79" s="41" t="s">
        <v>312</v>
      </c>
      <c r="D79" s="40" t="s">
        <v>278</v>
      </c>
      <c r="E79" s="40" t="s">
        <v>47</v>
      </c>
      <c r="F79" s="41" t="s">
        <v>284</v>
      </c>
      <c r="G79" s="40" t="s">
        <v>285</v>
      </c>
      <c r="H79" s="40" t="s">
        <v>247</v>
      </c>
      <c r="I79" s="40" t="s">
        <v>286</v>
      </c>
      <c r="J79" s="40" t="s">
        <v>249</v>
      </c>
      <c r="K79" s="40" t="s">
        <v>287</v>
      </c>
      <c r="L79" s="40" t="s">
        <v>191</v>
      </c>
    </row>
    <row r="80" customFormat="false" ht="30.75" hidden="false" customHeight="true" outlineLevel="0" collapsed="false">
      <c r="A80" s="40" t="s">
        <v>86</v>
      </c>
      <c r="B80" s="40" t="s">
        <v>334</v>
      </c>
      <c r="C80" s="41" t="s">
        <v>314</v>
      </c>
      <c r="D80" s="40" t="s">
        <v>278</v>
      </c>
      <c r="E80" s="40" t="s">
        <v>47</v>
      </c>
      <c r="F80" s="41" t="s">
        <v>284</v>
      </c>
      <c r="G80" s="40" t="s">
        <v>285</v>
      </c>
      <c r="H80" s="40" t="s">
        <v>253</v>
      </c>
      <c r="I80" s="40" t="s">
        <v>286</v>
      </c>
      <c r="J80" s="40" t="s">
        <v>8</v>
      </c>
      <c r="K80" s="40" t="s">
        <v>287</v>
      </c>
      <c r="L80" s="40" t="s">
        <v>191</v>
      </c>
    </row>
    <row r="81" customFormat="false" ht="30.75" hidden="false" customHeight="true" outlineLevel="0" collapsed="false">
      <c r="A81" s="40" t="s">
        <v>86</v>
      </c>
      <c r="B81" s="40" t="s">
        <v>335</v>
      </c>
      <c r="C81" s="41" t="s">
        <v>312</v>
      </c>
      <c r="D81" s="40" t="s">
        <v>278</v>
      </c>
      <c r="E81" s="40" t="s">
        <v>48</v>
      </c>
      <c r="F81" s="41" t="s">
        <v>290</v>
      </c>
      <c r="G81" s="40" t="s">
        <v>291</v>
      </c>
      <c r="H81" s="40" t="s">
        <v>247</v>
      </c>
      <c r="I81" s="40" t="s">
        <v>292</v>
      </c>
      <c r="J81" s="40" t="s">
        <v>249</v>
      </c>
      <c r="K81" s="40" t="s">
        <v>293</v>
      </c>
      <c r="L81" s="40" t="s">
        <v>191</v>
      </c>
    </row>
    <row r="82" customFormat="false" ht="30.75" hidden="false" customHeight="true" outlineLevel="0" collapsed="false">
      <c r="A82" s="40" t="s">
        <v>86</v>
      </c>
      <c r="B82" s="40" t="s">
        <v>336</v>
      </c>
      <c r="C82" s="41" t="s">
        <v>314</v>
      </c>
      <c r="D82" s="40" t="s">
        <v>278</v>
      </c>
      <c r="E82" s="40" t="s">
        <v>48</v>
      </c>
      <c r="F82" s="41" t="s">
        <v>290</v>
      </c>
      <c r="G82" s="40" t="s">
        <v>291</v>
      </c>
      <c r="H82" s="40" t="s">
        <v>253</v>
      </c>
      <c r="I82" s="40" t="s">
        <v>292</v>
      </c>
      <c r="J82" s="40" t="s">
        <v>8</v>
      </c>
      <c r="K82" s="40" t="s">
        <v>293</v>
      </c>
      <c r="L82" s="40" t="s">
        <v>191</v>
      </c>
    </row>
    <row r="83" customFormat="false" ht="26.25" hidden="false" customHeight="true" outlineLevel="0" collapsed="false">
      <c r="A83" s="40" t="s">
        <v>86</v>
      </c>
      <c r="B83" s="40" t="s">
        <v>337</v>
      </c>
      <c r="C83" s="41" t="s">
        <v>312</v>
      </c>
      <c r="D83" s="40" t="s">
        <v>184</v>
      </c>
      <c r="E83" s="40" t="s">
        <v>49</v>
      </c>
      <c r="F83" s="41" t="s">
        <v>231</v>
      </c>
      <c r="G83" s="40" t="s">
        <v>212</v>
      </c>
      <c r="H83" s="40" t="s">
        <v>247</v>
      </c>
      <c r="I83" s="40" t="s">
        <v>232</v>
      </c>
      <c r="J83" s="40" t="s">
        <v>249</v>
      </c>
      <c r="K83" s="40" t="s">
        <v>275</v>
      </c>
      <c r="L83" s="40" t="s">
        <v>191</v>
      </c>
    </row>
    <row r="84" customFormat="false" ht="26.25" hidden="false" customHeight="true" outlineLevel="0" collapsed="false">
      <c r="A84" s="40" t="s">
        <v>86</v>
      </c>
      <c r="B84" s="40" t="s">
        <v>338</v>
      </c>
      <c r="C84" s="41" t="s">
        <v>314</v>
      </c>
      <c r="D84" s="40" t="s">
        <v>184</v>
      </c>
      <c r="E84" s="40" t="s">
        <v>49</v>
      </c>
      <c r="F84" s="41" t="s">
        <v>231</v>
      </c>
      <c r="G84" s="40" t="s">
        <v>212</v>
      </c>
      <c r="H84" s="40" t="s">
        <v>253</v>
      </c>
      <c r="I84" s="40" t="s">
        <v>232</v>
      </c>
      <c r="J84" s="40" t="s">
        <v>8</v>
      </c>
      <c r="K84" s="40" t="s">
        <v>275</v>
      </c>
      <c r="L84" s="40" t="s">
        <v>191</v>
      </c>
    </row>
    <row r="85" customFormat="false" ht="30.75" hidden="false" customHeight="true" outlineLevel="0" collapsed="false">
      <c r="A85" s="40" t="s">
        <v>86</v>
      </c>
      <c r="B85" s="40" t="s">
        <v>339</v>
      </c>
      <c r="C85" s="41" t="s">
        <v>312</v>
      </c>
      <c r="D85" s="40" t="s">
        <v>278</v>
      </c>
      <c r="E85" s="40" t="s">
        <v>50</v>
      </c>
      <c r="F85" s="41" t="s">
        <v>297</v>
      </c>
      <c r="G85" s="40" t="s">
        <v>298</v>
      </c>
      <c r="H85" s="40" t="s">
        <v>247</v>
      </c>
      <c r="I85" s="40" t="s">
        <v>299</v>
      </c>
      <c r="J85" s="40" t="s">
        <v>249</v>
      </c>
      <c r="K85" s="40" t="s">
        <v>282</v>
      </c>
      <c r="L85" s="40" t="s">
        <v>191</v>
      </c>
    </row>
    <row r="86" customFormat="false" ht="30.75" hidden="false" customHeight="true" outlineLevel="0" collapsed="false">
      <c r="A86" s="40" t="s">
        <v>86</v>
      </c>
      <c r="B86" s="40" t="s">
        <v>340</v>
      </c>
      <c r="C86" s="41" t="s">
        <v>314</v>
      </c>
      <c r="D86" s="40" t="s">
        <v>278</v>
      </c>
      <c r="E86" s="40" t="s">
        <v>50</v>
      </c>
      <c r="F86" s="41" t="s">
        <v>297</v>
      </c>
      <c r="G86" s="40" t="s">
        <v>298</v>
      </c>
      <c r="H86" s="40" t="s">
        <v>253</v>
      </c>
      <c r="I86" s="40" t="s">
        <v>299</v>
      </c>
      <c r="J86" s="40" t="s">
        <v>8</v>
      </c>
      <c r="K86" s="40" t="s">
        <v>282</v>
      </c>
      <c r="L86" s="40" t="s">
        <v>191</v>
      </c>
    </row>
    <row r="87" customFormat="false" ht="30.75" hidden="false" customHeight="true" outlineLevel="0" collapsed="false">
      <c r="A87" s="40" t="s">
        <v>86</v>
      </c>
      <c r="B87" s="40" t="s">
        <v>341</v>
      </c>
      <c r="C87" s="41" t="s">
        <v>312</v>
      </c>
      <c r="D87" s="40" t="s">
        <v>278</v>
      </c>
      <c r="E87" s="40" t="s">
        <v>51</v>
      </c>
      <c r="F87" s="41" t="s">
        <v>301</v>
      </c>
      <c r="G87" s="40" t="s">
        <v>302</v>
      </c>
      <c r="H87" s="40" t="s">
        <v>247</v>
      </c>
      <c r="I87" s="40" t="s">
        <v>303</v>
      </c>
      <c r="J87" s="40" t="s">
        <v>249</v>
      </c>
      <c r="K87" s="40" t="s">
        <v>287</v>
      </c>
      <c r="L87" s="40" t="s">
        <v>191</v>
      </c>
    </row>
    <row r="88" customFormat="false" ht="30.75" hidden="false" customHeight="true" outlineLevel="0" collapsed="false">
      <c r="A88" s="40" t="s">
        <v>86</v>
      </c>
      <c r="B88" s="40" t="s">
        <v>342</v>
      </c>
      <c r="C88" s="41" t="s">
        <v>314</v>
      </c>
      <c r="D88" s="40" t="s">
        <v>278</v>
      </c>
      <c r="E88" s="40" t="s">
        <v>51</v>
      </c>
      <c r="F88" s="41" t="s">
        <v>301</v>
      </c>
      <c r="G88" s="40" t="s">
        <v>302</v>
      </c>
      <c r="H88" s="40" t="s">
        <v>253</v>
      </c>
      <c r="I88" s="40" t="s">
        <v>303</v>
      </c>
      <c r="J88" s="40" t="s">
        <v>8</v>
      </c>
      <c r="K88" s="40" t="s">
        <v>287</v>
      </c>
      <c r="L88" s="40" t="s">
        <v>191</v>
      </c>
    </row>
    <row r="89" customFormat="false" ht="30.75" hidden="false" customHeight="true" outlineLevel="0" collapsed="false">
      <c r="A89" s="40" t="s">
        <v>86</v>
      </c>
      <c r="B89" s="40" t="s">
        <v>343</v>
      </c>
      <c r="C89" s="41" t="s">
        <v>312</v>
      </c>
      <c r="D89" s="40" t="s">
        <v>278</v>
      </c>
      <c r="E89" s="40" t="s">
        <v>52</v>
      </c>
      <c r="F89" s="41" t="s">
        <v>306</v>
      </c>
      <c r="G89" s="40" t="s">
        <v>307</v>
      </c>
      <c r="H89" s="40" t="s">
        <v>247</v>
      </c>
      <c r="I89" s="40" t="s">
        <v>308</v>
      </c>
      <c r="J89" s="40" t="s">
        <v>249</v>
      </c>
      <c r="K89" s="40" t="s">
        <v>293</v>
      </c>
      <c r="L89" s="40" t="s">
        <v>191</v>
      </c>
    </row>
    <row r="90" customFormat="false" ht="30.75" hidden="false" customHeight="true" outlineLevel="0" collapsed="false">
      <c r="A90" s="40" t="s">
        <v>86</v>
      </c>
      <c r="B90" s="40" t="s">
        <v>344</v>
      </c>
      <c r="C90" s="41" t="s">
        <v>314</v>
      </c>
      <c r="D90" s="40" t="s">
        <v>278</v>
      </c>
      <c r="E90" s="40" t="s">
        <v>52</v>
      </c>
      <c r="F90" s="41" t="s">
        <v>306</v>
      </c>
      <c r="G90" s="40" t="s">
        <v>307</v>
      </c>
      <c r="H90" s="40" t="s">
        <v>253</v>
      </c>
      <c r="I90" s="40" t="s">
        <v>308</v>
      </c>
      <c r="J90" s="40" t="s">
        <v>8</v>
      </c>
      <c r="K90" s="40" t="s">
        <v>293</v>
      </c>
      <c r="L90" s="40" t="s">
        <v>191</v>
      </c>
    </row>
    <row r="91" customFormat="false" ht="26.25" hidden="false" customHeight="true" outlineLevel="0" collapsed="false">
      <c r="A91" s="40" t="s">
        <v>86</v>
      </c>
      <c r="B91" s="40" t="s">
        <v>345</v>
      </c>
      <c r="C91" s="41" t="s">
        <v>312</v>
      </c>
      <c r="D91" s="40" t="s">
        <v>184</v>
      </c>
      <c r="E91" s="40" t="s">
        <v>53</v>
      </c>
      <c r="F91" s="41" t="s">
        <v>240</v>
      </c>
      <c r="G91" s="40" t="s">
        <v>217</v>
      </c>
      <c r="H91" s="40" t="s">
        <v>247</v>
      </c>
      <c r="I91" s="40" t="s">
        <v>241</v>
      </c>
      <c r="J91" s="40" t="s">
        <v>249</v>
      </c>
      <c r="K91" s="40" t="s">
        <v>275</v>
      </c>
      <c r="L91" s="40" t="s">
        <v>191</v>
      </c>
    </row>
    <row r="92" customFormat="false" ht="26.25" hidden="false" customHeight="true" outlineLevel="0" collapsed="false">
      <c r="A92" s="40" t="s">
        <v>86</v>
      </c>
      <c r="B92" s="40" t="s">
        <v>346</v>
      </c>
      <c r="C92" s="41" t="s">
        <v>314</v>
      </c>
      <c r="D92" s="40" t="s">
        <v>184</v>
      </c>
      <c r="E92" s="40" t="s">
        <v>53</v>
      </c>
      <c r="F92" s="41" t="s">
        <v>240</v>
      </c>
      <c r="G92" s="40" t="s">
        <v>217</v>
      </c>
      <c r="H92" s="40" t="s">
        <v>253</v>
      </c>
      <c r="I92" s="40" t="s">
        <v>241</v>
      </c>
      <c r="J92" s="40" t="s">
        <v>8</v>
      </c>
      <c r="K92" s="40" t="s">
        <v>275</v>
      </c>
      <c r="L92" s="40" t="s">
        <v>191</v>
      </c>
    </row>
    <row r="93" customFormat="false" ht="28.5" hidden="false" customHeight="true" outlineLevel="0" collapsed="false">
      <c r="A93" s="40" t="s">
        <v>86</v>
      </c>
      <c r="B93" s="40" t="s">
        <v>347</v>
      </c>
      <c r="C93" s="41" t="s">
        <v>348</v>
      </c>
      <c r="D93" s="40" t="s">
        <v>184</v>
      </c>
      <c r="E93" s="40" t="s">
        <v>37</v>
      </c>
      <c r="F93" s="40" t="s">
        <v>245</v>
      </c>
      <c r="G93" s="40" t="s">
        <v>246</v>
      </c>
      <c r="H93" s="40" t="s">
        <v>247</v>
      </c>
      <c r="I93" s="40" t="s">
        <v>248</v>
      </c>
      <c r="J93" s="40" t="s">
        <v>249</v>
      </c>
      <c r="K93" s="40" t="s">
        <v>250</v>
      </c>
      <c r="L93" s="40" t="s">
        <v>191</v>
      </c>
    </row>
    <row r="94" customFormat="false" ht="28.5" hidden="false" customHeight="true" outlineLevel="0" collapsed="false">
      <c r="A94" s="40" t="s">
        <v>86</v>
      </c>
      <c r="B94" s="40" t="s">
        <v>349</v>
      </c>
      <c r="C94" s="41" t="s">
        <v>350</v>
      </c>
      <c r="D94" s="40" t="s">
        <v>184</v>
      </c>
      <c r="E94" s="40" t="s">
        <v>37</v>
      </c>
      <c r="F94" s="40" t="s">
        <v>245</v>
      </c>
      <c r="G94" s="40" t="s">
        <v>246</v>
      </c>
      <c r="H94" s="40" t="s">
        <v>253</v>
      </c>
      <c r="I94" s="40" t="s">
        <v>248</v>
      </c>
      <c r="J94" s="40" t="s">
        <v>8</v>
      </c>
      <c r="K94" s="40" t="s">
        <v>250</v>
      </c>
      <c r="L94" s="40" t="s">
        <v>191</v>
      </c>
    </row>
    <row r="95" customFormat="false" ht="28.5" hidden="false" customHeight="true" outlineLevel="0" collapsed="false">
      <c r="A95" s="40" t="s">
        <v>86</v>
      </c>
      <c r="B95" s="40" t="s">
        <v>351</v>
      </c>
      <c r="C95" s="41" t="s">
        <v>348</v>
      </c>
      <c r="D95" s="40" t="s">
        <v>184</v>
      </c>
      <c r="E95" s="40" t="s">
        <v>38</v>
      </c>
      <c r="F95" s="40" t="s">
        <v>254</v>
      </c>
      <c r="G95" s="40" t="s">
        <v>186</v>
      </c>
      <c r="H95" s="40" t="s">
        <v>247</v>
      </c>
      <c r="I95" s="40" t="s">
        <v>255</v>
      </c>
      <c r="J95" s="40" t="s">
        <v>249</v>
      </c>
      <c r="K95" s="40" t="s">
        <v>250</v>
      </c>
      <c r="L95" s="40" t="s">
        <v>191</v>
      </c>
    </row>
    <row r="96" customFormat="false" ht="28.5" hidden="false" customHeight="true" outlineLevel="0" collapsed="false">
      <c r="A96" s="40" t="s">
        <v>86</v>
      </c>
      <c r="B96" s="40" t="s">
        <v>352</v>
      </c>
      <c r="C96" s="41" t="s">
        <v>350</v>
      </c>
      <c r="D96" s="40" t="s">
        <v>184</v>
      </c>
      <c r="E96" s="40" t="s">
        <v>38</v>
      </c>
      <c r="F96" s="40" t="s">
        <v>254</v>
      </c>
      <c r="G96" s="40" t="s">
        <v>186</v>
      </c>
      <c r="H96" s="40" t="s">
        <v>253</v>
      </c>
      <c r="I96" s="40" t="s">
        <v>255</v>
      </c>
      <c r="J96" s="40" t="s">
        <v>8</v>
      </c>
      <c r="K96" s="40" t="s">
        <v>250</v>
      </c>
      <c r="L96" s="40" t="s">
        <v>191</v>
      </c>
    </row>
    <row r="97" customFormat="false" ht="28.5" hidden="false" customHeight="true" outlineLevel="0" collapsed="false">
      <c r="A97" s="40" t="s">
        <v>86</v>
      </c>
      <c r="B97" s="40" t="s">
        <v>353</v>
      </c>
      <c r="C97" s="41" t="s">
        <v>348</v>
      </c>
      <c r="D97" s="40" t="s">
        <v>184</v>
      </c>
      <c r="E97" s="40" t="s">
        <v>39</v>
      </c>
      <c r="F97" s="41" t="s">
        <v>257</v>
      </c>
      <c r="G97" s="40" t="s">
        <v>194</v>
      </c>
      <c r="H97" s="40" t="s">
        <v>247</v>
      </c>
      <c r="I97" s="40" t="s">
        <v>258</v>
      </c>
      <c r="J97" s="40" t="s">
        <v>249</v>
      </c>
      <c r="K97" s="40" t="s">
        <v>250</v>
      </c>
      <c r="L97" s="40" t="s">
        <v>191</v>
      </c>
    </row>
    <row r="98" customFormat="false" ht="28.5" hidden="false" customHeight="true" outlineLevel="0" collapsed="false">
      <c r="A98" s="40" t="s">
        <v>86</v>
      </c>
      <c r="B98" s="40" t="s">
        <v>354</v>
      </c>
      <c r="C98" s="41" t="s">
        <v>350</v>
      </c>
      <c r="D98" s="40" t="s">
        <v>184</v>
      </c>
      <c r="E98" s="40" t="s">
        <v>39</v>
      </c>
      <c r="F98" s="41" t="s">
        <v>257</v>
      </c>
      <c r="G98" s="40" t="s">
        <v>194</v>
      </c>
      <c r="H98" s="40" t="s">
        <v>253</v>
      </c>
      <c r="I98" s="40" t="s">
        <v>258</v>
      </c>
      <c r="J98" s="40" t="s">
        <v>8</v>
      </c>
      <c r="K98" s="40" t="s">
        <v>250</v>
      </c>
      <c r="L98" s="40" t="s">
        <v>191</v>
      </c>
    </row>
    <row r="99" customFormat="false" ht="28.5" hidden="false" customHeight="true" outlineLevel="0" collapsed="false">
      <c r="A99" s="40" t="s">
        <v>86</v>
      </c>
      <c r="B99" s="40" t="s">
        <v>355</v>
      </c>
      <c r="C99" s="41" t="s">
        <v>348</v>
      </c>
      <c r="D99" s="40" t="s">
        <v>184</v>
      </c>
      <c r="E99" s="40" t="s">
        <v>40</v>
      </c>
      <c r="F99" s="41" t="s">
        <v>260</v>
      </c>
      <c r="G99" s="40" t="s">
        <v>198</v>
      </c>
      <c r="H99" s="40" t="s">
        <v>247</v>
      </c>
      <c r="I99" s="40" t="s">
        <v>261</v>
      </c>
      <c r="J99" s="40" t="s">
        <v>249</v>
      </c>
      <c r="K99" s="40" t="s">
        <v>250</v>
      </c>
      <c r="L99" s="40" t="s">
        <v>191</v>
      </c>
    </row>
    <row r="100" customFormat="false" ht="28.5" hidden="false" customHeight="true" outlineLevel="0" collapsed="false">
      <c r="A100" s="40" t="s">
        <v>86</v>
      </c>
      <c r="B100" s="40" t="s">
        <v>356</v>
      </c>
      <c r="C100" s="41" t="s">
        <v>350</v>
      </c>
      <c r="D100" s="40" t="s">
        <v>184</v>
      </c>
      <c r="E100" s="40" t="s">
        <v>40</v>
      </c>
      <c r="F100" s="41" t="s">
        <v>260</v>
      </c>
      <c r="G100" s="40" t="s">
        <v>198</v>
      </c>
      <c r="H100" s="40" t="s">
        <v>253</v>
      </c>
      <c r="I100" s="40" t="s">
        <v>261</v>
      </c>
      <c r="J100" s="40" t="s">
        <v>8</v>
      </c>
      <c r="K100" s="40" t="s">
        <v>250</v>
      </c>
      <c r="L100" s="40" t="s">
        <v>191</v>
      </c>
    </row>
    <row r="101" customFormat="false" ht="28.5" hidden="false" customHeight="true" outlineLevel="0" collapsed="false">
      <c r="A101" s="40" t="s">
        <v>86</v>
      </c>
      <c r="B101" s="40" t="s">
        <v>357</v>
      </c>
      <c r="C101" s="41" t="s">
        <v>348</v>
      </c>
      <c r="D101" s="40" t="s">
        <v>184</v>
      </c>
      <c r="E101" s="40" t="s">
        <v>41</v>
      </c>
      <c r="F101" s="41" t="s">
        <v>263</v>
      </c>
      <c r="G101" s="40" t="s">
        <v>202</v>
      </c>
      <c r="H101" s="40" t="s">
        <v>247</v>
      </c>
      <c r="I101" s="40" t="s">
        <v>264</v>
      </c>
      <c r="J101" s="40" t="s">
        <v>249</v>
      </c>
      <c r="K101" s="40" t="s">
        <v>250</v>
      </c>
      <c r="L101" s="40" t="s">
        <v>191</v>
      </c>
    </row>
    <row r="102" customFormat="false" ht="28.5" hidden="false" customHeight="true" outlineLevel="0" collapsed="false">
      <c r="A102" s="40" t="s">
        <v>86</v>
      </c>
      <c r="B102" s="40" t="s">
        <v>358</v>
      </c>
      <c r="C102" s="41" t="s">
        <v>350</v>
      </c>
      <c r="D102" s="40" t="s">
        <v>184</v>
      </c>
      <c r="E102" s="40" t="s">
        <v>41</v>
      </c>
      <c r="F102" s="41" t="s">
        <v>263</v>
      </c>
      <c r="G102" s="40" t="s">
        <v>202</v>
      </c>
      <c r="H102" s="40" t="s">
        <v>253</v>
      </c>
      <c r="I102" s="40" t="s">
        <v>264</v>
      </c>
      <c r="J102" s="40" t="s">
        <v>8</v>
      </c>
      <c r="K102" s="40" t="s">
        <v>250</v>
      </c>
      <c r="L102" s="40" t="s">
        <v>191</v>
      </c>
    </row>
    <row r="103" customFormat="false" ht="28.5" hidden="false" customHeight="true" outlineLevel="0" collapsed="false">
      <c r="A103" s="40" t="s">
        <v>86</v>
      </c>
      <c r="B103" s="40" t="s">
        <v>359</v>
      </c>
      <c r="C103" s="41" t="s">
        <v>348</v>
      </c>
      <c r="D103" s="40" t="s">
        <v>184</v>
      </c>
      <c r="E103" s="40" t="s">
        <v>42</v>
      </c>
      <c r="F103" s="41" t="s">
        <v>266</v>
      </c>
      <c r="G103" s="40" t="s">
        <v>207</v>
      </c>
      <c r="H103" s="40" t="s">
        <v>247</v>
      </c>
      <c r="I103" s="40" t="s">
        <v>267</v>
      </c>
      <c r="J103" s="40" t="s">
        <v>249</v>
      </c>
      <c r="K103" s="40" t="s">
        <v>250</v>
      </c>
      <c r="L103" s="40" t="s">
        <v>191</v>
      </c>
    </row>
    <row r="104" customFormat="false" ht="28.5" hidden="false" customHeight="true" outlineLevel="0" collapsed="false">
      <c r="A104" s="40" t="s">
        <v>86</v>
      </c>
      <c r="B104" s="40" t="s">
        <v>360</v>
      </c>
      <c r="C104" s="41" t="s">
        <v>350</v>
      </c>
      <c r="D104" s="40" t="s">
        <v>184</v>
      </c>
      <c r="E104" s="40" t="s">
        <v>42</v>
      </c>
      <c r="F104" s="41" t="s">
        <v>266</v>
      </c>
      <c r="G104" s="40" t="s">
        <v>207</v>
      </c>
      <c r="H104" s="40" t="s">
        <v>253</v>
      </c>
      <c r="I104" s="40" t="s">
        <v>267</v>
      </c>
      <c r="J104" s="40" t="s">
        <v>8</v>
      </c>
      <c r="K104" s="40" t="s">
        <v>250</v>
      </c>
      <c r="L104" s="40" t="s">
        <v>191</v>
      </c>
    </row>
    <row r="105" customFormat="false" ht="28.5" hidden="false" customHeight="true" outlineLevel="0" collapsed="false">
      <c r="A105" s="40" t="s">
        <v>86</v>
      </c>
      <c r="B105" s="40" t="s">
        <v>361</v>
      </c>
      <c r="C105" s="41" t="s">
        <v>348</v>
      </c>
      <c r="D105" s="40" t="s">
        <v>184</v>
      </c>
      <c r="E105" s="40" t="s">
        <v>43</v>
      </c>
      <c r="F105" s="41" t="s">
        <v>269</v>
      </c>
      <c r="G105" s="40" t="s">
        <v>212</v>
      </c>
      <c r="H105" s="40" t="s">
        <v>247</v>
      </c>
      <c r="I105" s="40" t="s">
        <v>270</v>
      </c>
      <c r="J105" s="40" t="s">
        <v>249</v>
      </c>
      <c r="K105" s="40" t="s">
        <v>250</v>
      </c>
      <c r="L105" s="40" t="s">
        <v>191</v>
      </c>
    </row>
    <row r="106" customFormat="false" ht="28.5" hidden="false" customHeight="true" outlineLevel="0" collapsed="false">
      <c r="A106" s="40" t="s">
        <v>86</v>
      </c>
      <c r="B106" s="40" t="s">
        <v>362</v>
      </c>
      <c r="C106" s="41" t="s">
        <v>350</v>
      </c>
      <c r="D106" s="40" t="s">
        <v>184</v>
      </c>
      <c r="E106" s="40" t="s">
        <v>43</v>
      </c>
      <c r="F106" s="41" t="s">
        <v>269</v>
      </c>
      <c r="G106" s="40" t="s">
        <v>212</v>
      </c>
      <c r="H106" s="40" t="s">
        <v>253</v>
      </c>
      <c r="I106" s="40" t="s">
        <v>270</v>
      </c>
      <c r="J106" s="40" t="s">
        <v>8</v>
      </c>
      <c r="K106" s="40" t="s">
        <v>250</v>
      </c>
      <c r="L106" s="40" t="s">
        <v>191</v>
      </c>
    </row>
    <row r="107" customFormat="false" ht="28.5" hidden="false" customHeight="true" outlineLevel="0" collapsed="false">
      <c r="A107" s="40" t="s">
        <v>86</v>
      </c>
      <c r="B107" s="40" t="s">
        <v>363</v>
      </c>
      <c r="C107" s="41" t="s">
        <v>348</v>
      </c>
      <c r="D107" s="40" t="s">
        <v>184</v>
      </c>
      <c r="E107" s="40" t="s">
        <v>44</v>
      </c>
      <c r="F107" s="41" t="s">
        <v>272</v>
      </c>
      <c r="G107" s="40" t="s">
        <v>217</v>
      </c>
      <c r="H107" s="40" t="s">
        <v>247</v>
      </c>
      <c r="I107" s="40" t="s">
        <v>273</v>
      </c>
      <c r="J107" s="40" t="s">
        <v>249</v>
      </c>
      <c r="K107" s="40" t="s">
        <v>250</v>
      </c>
      <c r="L107" s="40" t="s">
        <v>191</v>
      </c>
    </row>
    <row r="108" customFormat="false" ht="28.5" hidden="false" customHeight="true" outlineLevel="0" collapsed="false">
      <c r="A108" s="40" t="s">
        <v>86</v>
      </c>
      <c r="B108" s="40" t="s">
        <v>364</v>
      </c>
      <c r="C108" s="41" t="s">
        <v>350</v>
      </c>
      <c r="D108" s="40" t="s">
        <v>184</v>
      </c>
      <c r="E108" s="40" t="s">
        <v>44</v>
      </c>
      <c r="F108" s="41" t="s">
        <v>272</v>
      </c>
      <c r="G108" s="40" t="s">
        <v>217</v>
      </c>
      <c r="H108" s="40" t="s">
        <v>253</v>
      </c>
      <c r="I108" s="40" t="s">
        <v>273</v>
      </c>
      <c r="J108" s="40" t="s">
        <v>8</v>
      </c>
      <c r="K108" s="40" t="s">
        <v>250</v>
      </c>
      <c r="L108" s="40" t="s">
        <v>191</v>
      </c>
    </row>
    <row r="109" customFormat="false" ht="28.5" hidden="false" customHeight="true" outlineLevel="0" collapsed="false">
      <c r="A109" s="40" t="s">
        <v>86</v>
      </c>
      <c r="B109" s="40" t="s">
        <v>365</v>
      </c>
      <c r="C109" s="41" t="s">
        <v>348</v>
      </c>
      <c r="D109" s="40" t="s">
        <v>184</v>
      </c>
      <c r="E109" s="40" t="s">
        <v>45</v>
      </c>
      <c r="F109" s="41" t="s">
        <v>221</v>
      </c>
      <c r="G109" s="40" t="s">
        <v>222</v>
      </c>
      <c r="H109" s="40" t="s">
        <v>247</v>
      </c>
      <c r="I109" s="40" t="s">
        <v>223</v>
      </c>
      <c r="J109" s="40" t="s">
        <v>249</v>
      </c>
      <c r="K109" s="40" t="s">
        <v>275</v>
      </c>
      <c r="L109" s="40" t="s">
        <v>191</v>
      </c>
    </row>
    <row r="110" customFormat="false" ht="28.5" hidden="false" customHeight="true" outlineLevel="0" collapsed="false">
      <c r="A110" s="40" t="s">
        <v>86</v>
      </c>
      <c r="B110" s="40" t="s">
        <v>366</v>
      </c>
      <c r="C110" s="41" t="s">
        <v>350</v>
      </c>
      <c r="D110" s="40" t="s">
        <v>184</v>
      </c>
      <c r="E110" s="40" t="s">
        <v>45</v>
      </c>
      <c r="F110" s="41" t="s">
        <v>221</v>
      </c>
      <c r="G110" s="40" t="s">
        <v>222</v>
      </c>
      <c r="H110" s="40" t="s">
        <v>253</v>
      </c>
      <c r="I110" s="40" t="s">
        <v>223</v>
      </c>
      <c r="J110" s="40" t="s">
        <v>8</v>
      </c>
      <c r="K110" s="40" t="s">
        <v>275</v>
      </c>
      <c r="L110" s="40" t="s">
        <v>191</v>
      </c>
    </row>
    <row r="111" customFormat="false" ht="30.75" hidden="false" customHeight="true" outlineLevel="0" collapsed="false">
      <c r="A111" s="40" t="s">
        <v>86</v>
      </c>
      <c r="B111" s="40" t="s">
        <v>367</v>
      </c>
      <c r="C111" s="41" t="s">
        <v>348</v>
      </c>
      <c r="D111" s="40" t="s">
        <v>278</v>
      </c>
      <c r="E111" s="40" t="s">
        <v>46</v>
      </c>
      <c r="F111" s="41" t="s">
        <v>279</v>
      </c>
      <c r="G111" s="40" t="s">
        <v>280</v>
      </c>
      <c r="H111" s="40" t="s">
        <v>247</v>
      </c>
      <c r="I111" s="40" t="s">
        <v>281</v>
      </c>
      <c r="J111" s="40" t="s">
        <v>249</v>
      </c>
      <c r="K111" s="40" t="s">
        <v>282</v>
      </c>
      <c r="L111" s="40" t="s">
        <v>191</v>
      </c>
    </row>
    <row r="112" customFormat="false" ht="30.75" hidden="false" customHeight="true" outlineLevel="0" collapsed="false">
      <c r="A112" s="40" t="s">
        <v>86</v>
      </c>
      <c r="B112" s="40" t="s">
        <v>368</v>
      </c>
      <c r="C112" s="41" t="s">
        <v>350</v>
      </c>
      <c r="D112" s="40" t="s">
        <v>278</v>
      </c>
      <c r="E112" s="40" t="s">
        <v>46</v>
      </c>
      <c r="F112" s="41" t="s">
        <v>279</v>
      </c>
      <c r="G112" s="40" t="s">
        <v>280</v>
      </c>
      <c r="H112" s="40" t="s">
        <v>253</v>
      </c>
      <c r="I112" s="40" t="s">
        <v>281</v>
      </c>
      <c r="J112" s="40" t="s">
        <v>8</v>
      </c>
      <c r="K112" s="40" t="s">
        <v>282</v>
      </c>
      <c r="L112" s="40" t="s">
        <v>191</v>
      </c>
    </row>
    <row r="113" customFormat="false" ht="30.75" hidden="false" customHeight="true" outlineLevel="0" collapsed="false">
      <c r="A113" s="40" t="s">
        <v>86</v>
      </c>
      <c r="B113" s="40" t="s">
        <v>369</v>
      </c>
      <c r="C113" s="41" t="s">
        <v>348</v>
      </c>
      <c r="D113" s="40" t="s">
        <v>278</v>
      </c>
      <c r="E113" s="40" t="s">
        <v>47</v>
      </c>
      <c r="F113" s="41" t="s">
        <v>284</v>
      </c>
      <c r="G113" s="40" t="s">
        <v>285</v>
      </c>
      <c r="H113" s="40" t="s">
        <v>247</v>
      </c>
      <c r="I113" s="40" t="s">
        <v>286</v>
      </c>
      <c r="J113" s="40" t="s">
        <v>249</v>
      </c>
      <c r="K113" s="40" t="s">
        <v>287</v>
      </c>
      <c r="L113" s="40" t="s">
        <v>191</v>
      </c>
    </row>
    <row r="114" customFormat="false" ht="30.75" hidden="false" customHeight="true" outlineLevel="0" collapsed="false">
      <c r="A114" s="40" t="s">
        <v>86</v>
      </c>
      <c r="B114" s="40" t="s">
        <v>370</v>
      </c>
      <c r="C114" s="41" t="s">
        <v>350</v>
      </c>
      <c r="D114" s="40" t="s">
        <v>278</v>
      </c>
      <c r="E114" s="40" t="s">
        <v>47</v>
      </c>
      <c r="F114" s="41" t="s">
        <v>284</v>
      </c>
      <c r="G114" s="40" t="s">
        <v>285</v>
      </c>
      <c r="H114" s="40" t="s">
        <v>253</v>
      </c>
      <c r="I114" s="40" t="s">
        <v>286</v>
      </c>
      <c r="J114" s="40" t="s">
        <v>8</v>
      </c>
      <c r="K114" s="40" t="s">
        <v>287</v>
      </c>
      <c r="L114" s="40" t="s">
        <v>191</v>
      </c>
    </row>
    <row r="115" customFormat="false" ht="30.75" hidden="false" customHeight="true" outlineLevel="0" collapsed="false">
      <c r="A115" s="40" t="s">
        <v>86</v>
      </c>
      <c r="B115" s="40" t="s">
        <v>371</v>
      </c>
      <c r="C115" s="41" t="s">
        <v>348</v>
      </c>
      <c r="D115" s="40" t="s">
        <v>278</v>
      </c>
      <c r="E115" s="40" t="s">
        <v>48</v>
      </c>
      <c r="F115" s="41" t="s">
        <v>290</v>
      </c>
      <c r="G115" s="40" t="s">
        <v>291</v>
      </c>
      <c r="H115" s="40" t="s">
        <v>247</v>
      </c>
      <c r="I115" s="40" t="s">
        <v>292</v>
      </c>
      <c r="J115" s="40" t="s">
        <v>249</v>
      </c>
      <c r="K115" s="40" t="s">
        <v>293</v>
      </c>
      <c r="L115" s="40" t="s">
        <v>191</v>
      </c>
    </row>
    <row r="116" customFormat="false" ht="30.75" hidden="false" customHeight="true" outlineLevel="0" collapsed="false">
      <c r="A116" s="40" t="s">
        <v>86</v>
      </c>
      <c r="B116" s="40" t="s">
        <v>372</v>
      </c>
      <c r="C116" s="41" t="s">
        <v>350</v>
      </c>
      <c r="D116" s="40" t="s">
        <v>278</v>
      </c>
      <c r="E116" s="40" t="s">
        <v>48</v>
      </c>
      <c r="F116" s="41" t="s">
        <v>290</v>
      </c>
      <c r="G116" s="40" t="s">
        <v>291</v>
      </c>
      <c r="H116" s="40" t="s">
        <v>253</v>
      </c>
      <c r="I116" s="40" t="s">
        <v>292</v>
      </c>
      <c r="J116" s="40" t="s">
        <v>8</v>
      </c>
      <c r="K116" s="40" t="s">
        <v>293</v>
      </c>
      <c r="L116" s="40" t="s">
        <v>191</v>
      </c>
    </row>
    <row r="117" customFormat="false" ht="28.5" hidden="false" customHeight="true" outlineLevel="0" collapsed="false">
      <c r="A117" s="40" t="s">
        <v>86</v>
      </c>
      <c r="B117" s="40" t="s">
        <v>373</v>
      </c>
      <c r="C117" s="41" t="s">
        <v>348</v>
      </c>
      <c r="D117" s="40" t="s">
        <v>184</v>
      </c>
      <c r="E117" s="40" t="s">
        <v>49</v>
      </c>
      <c r="F117" s="41" t="s">
        <v>231</v>
      </c>
      <c r="G117" s="40" t="s">
        <v>212</v>
      </c>
      <c r="H117" s="40" t="s">
        <v>247</v>
      </c>
      <c r="I117" s="40" t="s">
        <v>232</v>
      </c>
      <c r="J117" s="40" t="s">
        <v>249</v>
      </c>
      <c r="K117" s="40" t="s">
        <v>275</v>
      </c>
      <c r="L117" s="40" t="s">
        <v>191</v>
      </c>
    </row>
    <row r="118" customFormat="false" ht="28.5" hidden="false" customHeight="true" outlineLevel="0" collapsed="false">
      <c r="A118" s="40" t="s">
        <v>86</v>
      </c>
      <c r="B118" s="40" t="s">
        <v>374</v>
      </c>
      <c r="C118" s="41" t="s">
        <v>350</v>
      </c>
      <c r="D118" s="40" t="s">
        <v>184</v>
      </c>
      <c r="E118" s="40" t="s">
        <v>49</v>
      </c>
      <c r="F118" s="41" t="s">
        <v>231</v>
      </c>
      <c r="G118" s="40" t="s">
        <v>212</v>
      </c>
      <c r="H118" s="40" t="s">
        <v>253</v>
      </c>
      <c r="I118" s="40" t="s">
        <v>232</v>
      </c>
      <c r="J118" s="40" t="s">
        <v>8</v>
      </c>
      <c r="K118" s="40" t="s">
        <v>275</v>
      </c>
      <c r="L118" s="40" t="s">
        <v>191</v>
      </c>
    </row>
    <row r="119" customFormat="false" ht="30.75" hidden="false" customHeight="true" outlineLevel="0" collapsed="false">
      <c r="A119" s="40" t="s">
        <v>86</v>
      </c>
      <c r="B119" s="40" t="s">
        <v>375</v>
      </c>
      <c r="C119" s="41" t="s">
        <v>348</v>
      </c>
      <c r="D119" s="40" t="s">
        <v>278</v>
      </c>
      <c r="E119" s="40" t="s">
        <v>50</v>
      </c>
      <c r="F119" s="41" t="s">
        <v>297</v>
      </c>
      <c r="G119" s="40" t="s">
        <v>298</v>
      </c>
      <c r="H119" s="40" t="s">
        <v>247</v>
      </c>
      <c r="I119" s="40" t="s">
        <v>299</v>
      </c>
      <c r="J119" s="40" t="s">
        <v>249</v>
      </c>
      <c r="K119" s="40" t="s">
        <v>282</v>
      </c>
      <c r="L119" s="40" t="s">
        <v>191</v>
      </c>
    </row>
    <row r="120" customFormat="false" ht="30.75" hidden="false" customHeight="true" outlineLevel="0" collapsed="false">
      <c r="A120" s="40" t="s">
        <v>86</v>
      </c>
      <c r="B120" s="40" t="s">
        <v>376</v>
      </c>
      <c r="C120" s="41" t="s">
        <v>350</v>
      </c>
      <c r="D120" s="40" t="s">
        <v>278</v>
      </c>
      <c r="E120" s="40" t="s">
        <v>50</v>
      </c>
      <c r="F120" s="41" t="s">
        <v>297</v>
      </c>
      <c r="G120" s="40" t="s">
        <v>298</v>
      </c>
      <c r="H120" s="40" t="s">
        <v>253</v>
      </c>
      <c r="I120" s="40" t="s">
        <v>299</v>
      </c>
      <c r="J120" s="40" t="s">
        <v>8</v>
      </c>
      <c r="K120" s="40" t="s">
        <v>282</v>
      </c>
      <c r="L120" s="40" t="s">
        <v>191</v>
      </c>
    </row>
    <row r="121" customFormat="false" ht="30.75" hidden="false" customHeight="true" outlineLevel="0" collapsed="false">
      <c r="A121" s="40" t="s">
        <v>86</v>
      </c>
      <c r="B121" s="40" t="s">
        <v>377</v>
      </c>
      <c r="C121" s="41" t="s">
        <v>348</v>
      </c>
      <c r="D121" s="40" t="s">
        <v>278</v>
      </c>
      <c r="E121" s="40" t="s">
        <v>51</v>
      </c>
      <c r="F121" s="41" t="s">
        <v>301</v>
      </c>
      <c r="G121" s="40" t="s">
        <v>302</v>
      </c>
      <c r="H121" s="40" t="s">
        <v>247</v>
      </c>
      <c r="I121" s="40" t="s">
        <v>303</v>
      </c>
      <c r="J121" s="40" t="s">
        <v>249</v>
      </c>
      <c r="K121" s="40" t="s">
        <v>287</v>
      </c>
      <c r="L121" s="40" t="s">
        <v>191</v>
      </c>
    </row>
    <row r="122" customFormat="false" ht="30.75" hidden="false" customHeight="true" outlineLevel="0" collapsed="false">
      <c r="A122" s="40" t="s">
        <v>86</v>
      </c>
      <c r="B122" s="40" t="s">
        <v>378</v>
      </c>
      <c r="C122" s="41" t="s">
        <v>350</v>
      </c>
      <c r="D122" s="40" t="s">
        <v>278</v>
      </c>
      <c r="E122" s="40" t="s">
        <v>51</v>
      </c>
      <c r="F122" s="41" t="s">
        <v>301</v>
      </c>
      <c r="G122" s="40" t="s">
        <v>302</v>
      </c>
      <c r="H122" s="40" t="s">
        <v>253</v>
      </c>
      <c r="I122" s="40" t="s">
        <v>303</v>
      </c>
      <c r="J122" s="40" t="s">
        <v>8</v>
      </c>
      <c r="K122" s="40" t="s">
        <v>287</v>
      </c>
      <c r="L122" s="40" t="s">
        <v>191</v>
      </c>
    </row>
    <row r="123" customFormat="false" ht="30.75" hidden="false" customHeight="true" outlineLevel="0" collapsed="false">
      <c r="A123" s="40" t="s">
        <v>86</v>
      </c>
      <c r="B123" s="40" t="s">
        <v>379</v>
      </c>
      <c r="C123" s="41" t="s">
        <v>348</v>
      </c>
      <c r="D123" s="40" t="s">
        <v>278</v>
      </c>
      <c r="E123" s="40" t="s">
        <v>52</v>
      </c>
      <c r="F123" s="41" t="s">
        <v>306</v>
      </c>
      <c r="G123" s="40" t="s">
        <v>307</v>
      </c>
      <c r="H123" s="40" t="s">
        <v>247</v>
      </c>
      <c r="I123" s="40" t="s">
        <v>308</v>
      </c>
      <c r="J123" s="40" t="s">
        <v>249</v>
      </c>
      <c r="K123" s="40" t="s">
        <v>293</v>
      </c>
      <c r="L123" s="40" t="s">
        <v>191</v>
      </c>
    </row>
    <row r="124" customFormat="false" ht="30.75" hidden="false" customHeight="true" outlineLevel="0" collapsed="false">
      <c r="A124" s="40" t="s">
        <v>86</v>
      </c>
      <c r="B124" s="40" t="s">
        <v>380</v>
      </c>
      <c r="C124" s="41" t="s">
        <v>350</v>
      </c>
      <c r="D124" s="40" t="s">
        <v>278</v>
      </c>
      <c r="E124" s="40" t="s">
        <v>52</v>
      </c>
      <c r="F124" s="41" t="s">
        <v>306</v>
      </c>
      <c r="G124" s="40" t="s">
        <v>307</v>
      </c>
      <c r="H124" s="40" t="s">
        <v>253</v>
      </c>
      <c r="I124" s="40" t="s">
        <v>308</v>
      </c>
      <c r="J124" s="40" t="s">
        <v>8</v>
      </c>
      <c r="K124" s="40" t="s">
        <v>293</v>
      </c>
      <c r="L124" s="40" t="s">
        <v>191</v>
      </c>
    </row>
    <row r="125" customFormat="false" ht="28.5" hidden="false" customHeight="true" outlineLevel="0" collapsed="false">
      <c r="A125" s="40" t="s">
        <v>86</v>
      </c>
      <c r="B125" s="40" t="s">
        <v>381</v>
      </c>
      <c r="C125" s="41" t="s">
        <v>348</v>
      </c>
      <c r="D125" s="40" t="s">
        <v>184</v>
      </c>
      <c r="E125" s="40" t="s">
        <v>53</v>
      </c>
      <c r="F125" s="41" t="s">
        <v>240</v>
      </c>
      <c r="G125" s="40" t="s">
        <v>217</v>
      </c>
      <c r="H125" s="40" t="s">
        <v>247</v>
      </c>
      <c r="I125" s="40" t="s">
        <v>241</v>
      </c>
      <c r="J125" s="40" t="s">
        <v>249</v>
      </c>
      <c r="K125" s="40" t="s">
        <v>275</v>
      </c>
      <c r="L125" s="40" t="s">
        <v>191</v>
      </c>
    </row>
    <row r="126" customFormat="false" ht="28.5" hidden="false" customHeight="true" outlineLevel="0" collapsed="false">
      <c r="A126" s="40" t="s">
        <v>86</v>
      </c>
      <c r="B126" s="40" t="s">
        <v>382</v>
      </c>
      <c r="C126" s="41" t="s">
        <v>350</v>
      </c>
      <c r="D126" s="40" t="s">
        <v>184</v>
      </c>
      <c r="E126" s="40" t="s">
        <v>53</v>
      </c>
      <c r="F126" s="41" t="s">
        <v>240</v>
      </c>
      <c r="G126" s="40" t="s">
        <v>217</v>
      </c>
      <c r="H126" s="40" t="s">
        <v>253</v>
      </c>
      <c r="I126" s="40" t="s">
        <v>241</v>
      </c>
      <c r="J126" s="40" t="s">
        <v>8</v>
      </c>
      <c r="K126" s="40" t="s">
        <v>275</v>
      </c>
      <c r="L126" s="40" t="s">
        <v>191</v>
      </c>
    </row>
    <row r="127" customFormat="false" ht="26.25" hidden="false" customHeight="true" outlineLevel="0" collapsed="false">
      <c r="A127" s="40" t="s">
        <v>93</v>
      </c>
      <c r="B127" s="40" t="s">
        <v>383</v>
      </c>
      <c r="C127" s="41" t="s">
        <v>384</v>
      </c>
      <c r="D127" s="40" t="s">
        <v>184</v>
      </c>
      <c r="E127" s="40" t="s">
        <v>37</v>
      </c>
      <c r="F127" s="40" t="s">
        <v>245</v>
      </c>
      <c r="G127" s="40" t="s">
        <v>246</v>
      </c>
      <c r="H127" s="40" t="s">
        <v>385</v>
      </c>
      <c r="I127" s="40" t="s">
        <v>248</v>
      </c>
      <c r="J127" s="40" t="s">
        <v>8</v>
      </c>
      <c r="K127" s="40" t="s">
        <v>386</v>
      </c>
      <c r="L127" s="40" t="s">
        <v>191</v>
      </c>
    </row>
    <row r="128" customFormat="false" ht="26.25" hidden="false" customHeight="true" outlineLevel="0" collapsed="false">
      <c r="A128" s="40" t="s">
        <v>93</v>
      </c>
      <c r="B128" s="40" t="s">
        <v>387</v>
      </c>
      <c r="C128" s="41" t="s">
        <v>388</v>
      </c>
      <c r="D128" s="40" t="s">
        <v>184</v>
      </c>
      <c r="E128" s="40" t="s">
        <v>37</v>
      </c>
      <c r="F128" s="40" t="s">
        <v>245</v>
      </c>
      <c r="G128" s="40" t="s">
        <v>246</v>
      </c>
      <c r="H128" s="40" t="s">
        <v>389</v>
      </c>
      <c r="I128" s="40" t="s">
        <v>248</v>
      </c>
      <c r="J128" s="40" t="s">
        <v>390</v>
      </c>
      <c r="K128" s="40" t="s">
        <v>391</v>
      </c>
      <c r="L128" s="40" t="s">
        <v>191</v>
      </c>
    </row>
    <row r="129" customFormat="false" ht="26.25" hidden="false" customHeight="true" outlineLevel="0" collapsed="false">
      <c r="A129" s="40" t="s">
        <v>93</v>
      </c>
      <c r="B129" s="40" t="s">
        <v>392</v>
      </c>
      <c r="C129" s="41" t="s">
        <v>384</v>
      </c>
      <c r="D129" s="40" t="s">
        <v>184</v>
      </c>
      <c r="E129" s="40" t="s">
        <v>38</v>
      </c>
      <c r="F129" s="40" t="s">
        <v>254</v>
      </c>
      <c r="G129" s="40" t="s">
        <v>186</v>
      </c>
      <c r="H129" s="40" t="s">
        <v>385</v>
      </c>
      <c r="I129" s="40" t="s">
        <v>255</v>
      </c>
      <c r="J129" s="40" t="s">
        <v>8</v>
      </c>
      <c r="K129" s="40" t="s">
        <v>386</v>
      </c>
      <c r="L129" s="40" t="s">
        <v>191</v>
      </c>
    </row>
    <row r="130" customFormat="false" ht="26.25" hidden="false" customHeight="true" outlineLevel="0" collapsed="false">
      <c r="A130" s="40" t="s">
        <v>93</v>
      </c>
      <c r="B130" s="40" t="s">
        <v>393</v>
      </c>
      <c r="C130" s="41" t="s">
        <v>388</v>
      </c>
      <c r="D130" s="40" t="s">
        <v>184</v>
      </c>
      <c r="E130" s="40" t="s">
        <v>38</v>
      </c>
      <c r="F130" s="40" t="s">
        <v>254</v>
      </c>
      <c r="G130" s="40" t="s">
        <v>186</v>
      </c>
      <c r="H130" s="40" t="s">
        <v>389</v>
      </c>
      <c r="I130" s="40" t="s">
        <v>255</v>
      </c>
      <c r="J130" s="40" t="s">
        <v>390</v>
      </c>
      <c r="K130" s="40" t="s">
        <v>391</v>
      </c>
      <c r="L130" s="40" t="s">
        <v>191</v>
      </c>
    </row>
    <row r="131" customFormat="false" ht="26.25" hidden="false" customHeight="true" outlineLevel="0" collapsed="false">
      <c r="A131" s="40" t="s">
        <v>93</v>
      </c>
      <c r="B131" s="40" t="s">
        <v>394</v>
      </c>
      <c r="C131" s="41" t="s">
        <v>384</v>
      </c>
      <c r="D131" s="40" t="s">
        <v>184</v>
      </c>
      <c r="E131" s="40" t="s">
        <v>39</v>
      </c>
      <c r="F131" s="41" t="s">
        <v>257</v>
      </c>
      <c r="G131" s="40" t="s">
        <v>194</v>
      </c>
      <c r="H131" s="40" t="s">
        <v>385</v>
      </c>
      <c r="I131" s="40" t="s">
        <v>258</v>
      </c>
      <c r="J131" s="40" t="s">
        <v>8</v>
      </c>
      <c r="K131" s="40" t="s">
        <v>386</v>
      </c>
      <c r="L131" s="40" t="s">
        <v>191</v>
      </c>
    </row>
    <row r="132" customFormat="false" ht="26.25" hidden="false" customHeight="true" outlineLevel="0" collapsed="false">
      <c r="A132" s="40" t="s">
        <v>93</v>
      </c>
      <c r="B132" s="40" t="s">
        <v>395</v>
      </c>
      <c r="C132" s="41" t="s">
        <v>388</v>
      </c>
      <c r="D132" s="40" t="s">
        <v>184</v>
      </c>
      <c r="E132" s="40" t="s">
        <v>39</v>
      </c>
      <c r="F132" s="41" t="s">
        <v>257</v>
      </c>
      <c r="G132" s="40" t="s">
        <v>194</v>
      </c>
      <c r="H132" s="40" t="s">
        <v>389</v>
      </c>
      <c r="I132" s="40" t="s">
        <v>258</v>
      </c>
      <c r="J132" s="40" t="s">
        <v>390</v>
      </c>
      <c r="K132" s="40" t="s">
        <v>391</v>
      </c>
      <c r="L132" s="40" t="s">
        <v>191</v>
      </c>
    </row>
    <row r="133" customFormat="false" ht="26.25" hidden="false" customHeight="true" outlineLevel="0" collapsed="false">
      <c r="A133" s="40" t="s">
        <v>93</v>
      </c>
      <c r="B133" s="40" t="s">
        <v>396</v>
      </c>
      <c r="C133" s="41" t="s">
        <v>384</v>
      </c>
      <c r="D133" s="40" t="s">
        <v>184</v>
      </c>
      <c r="E133" s="40" t="s">
        <v>40</v>
      </c>
      <c r="F133" s="41" t="s">
        <v>260</v>
      </c>
      <c r="G133" s="40" t="s">
        <v>198</v>
      </c>
      <c r="H133" s="40" t="s">
        <v>385</v>
      </c>
      <c r="I133" s="40" t="s">
        <v>261</v>
      </c>
      <c r="J133" s="40" t="s">
        <v>8</v>
      </c>
      <c r="K133" s="40" t="s">
        <v>386</v>
      </c>
      <c r="L133" s="40" t="s">
        <v>191</v>
      </c>
    </row>
    <row r="134" customFormat="false" ht="26.25" hidden="false" customHeight="true" outlineLevel="0" collapsed="false">
      <c r="A134" s="40" t="s">
        <v>93</v>
      </c>
      <c r="B134" s="40" t="s">
        <v>397</v>
      </c>
      <c r="C134" s="41" t="s">
        <v>388</v>
      </c>
      <c r="D134" s="40" t="s">
        <v>184</v>
      </c>
      <c r="E134" s="40" t="s">
        <v>40</v>
      </c>
      <c r="F134" s="41" t="s">
        <v>260</v>
      </c>
      <c r="G134" s="40" t="s">
        <v>198</v>
      </c>
      <c r="H134" s="40" t="s">
        <v>389</v>
      </c>
      <c r="I134" s="40" t="s">
        <v>261</v>
      </c>
      <c r="J134" s="40" t="s">
        <v>390</v>
      </c>
      <c r="K134" s="40" t="s">
        <v>391</v>
      </c>
      <c r="L134" s="40" t="s">
        <v>191</v>
      </c>
    </row>
    <row r="135" customFormat="false" ht="26.25" hidden="false" customHeight="true" outlineLevel="0" collapsed="false">
      <c r="A135" s="40" t="s">
        <v>93</v>
      </c>
      <c r="B135" s="40" t="s">
        <v>398</v>
      </c>
      <c r="C135" s="41" t="s">
        <v>384</v>
      </c>
      <c r="D135" s="40" t="s">
        <v>184</v>
      </c>
      <c r="E135" s="40" t="s">
        <v>41</v>
      </c>
      <c r="F135" s="41" t="s">
        <v>263</v>
      </c>
      <c r="G135" s="40" t="s">
        <v>202</v>
      </c>
      <c r="H135" s="40" t="s">
        <v>385</v>
      </c>
      <c r="I135" s="40" t="s">
        <v>264</v>
      </c>
      <c r="J135" s="40" t="s">
        <v>8</v>
      </c>
      <c r="K135" s="40" t="s">
        <v>386</v>
      </c>
      <c r="L135" s="40" t="s">
        <v>191</v>
      </c>
    </row>
    <row r="136" customFormat="false" ht="26.25" hidden="false" customHeight="true" outlineLevel="0" collapsed="false">
      <c r="A136" s="40" t="s">
        <v>93</v>
      </c>
      <c r="B136" s="40" t="s">
        <v>399</v>
      </c>
      <c r="C136" s="41" t="s">
        <v>388</v>
      </c>
      <c r="D136" s="40" t="s">
        <v>184</v>
      </c>
      <c r="E136" s="40" t="s">
        <v>41</v>
      </c>
      <c r="F136" s="41" t="s">
        <v>263</v>
      </c>
      <c r="G136" s="40" t="s">
        <v>202</v>
      </c>
      <c r="H136" s="40" t="s">
        <v>389</v>
      </c>
      <c r="I136" s="40" t="s">
        <v>264</v>
      </c>
      <c r="J136" s="40" t="s">
        <v>390</v>
      </c>
      <c r="K136" s="40" t="s">
        <v>391</v>
      </c>
      <c r="L136" s="40" t="s">
        <v>191</v>
      </c>
    </row>
    <row r="137" customFormat="false" ht="26.25" hidden="false" customHeight="true" outlineLevel="0" collapsed="false">
      <c r="A137" s="40" t="s">
        <v>93</v>
      </c>
      <c r="B137" s="40" t="s">
        <v>400</v>
      </c>
      <c r="C137" s="41" t="s">
        <v>384</v>
      </c>
      <c r="D137" s="40" t="s">
        <v>184</v>
      </c>
      <c r="E137" s="40" t="s">
        <v>42</v>
      </c>
      <c r="F137" s="41" t="s">
        <v>266</v>
      </c>
      <c r="G137" s="40" t="s">
        <v>207</v>
      </c>
      <c r="H137" s="40" t="s">
        <v>385</v>
      </c>
      <c r="I137" s="40" t="s">
        <v>267</v>
      </c>
      <c r="J137" s="40" t="s">
        <v>8</v>
      </c>
      <c r="K137" s="40" t="s">
        <v>386</v>
      </c>
      <c r="L137" s="40" t="s">
        <v>191</v>
      </c>
    </row>
    <row r="138" customFormat="false" ht="26.25" hidden="false" customHeight="true" outlineLevel="0" collapsed="false">
      <c r="A138" s="40" t="s">
        <v>93</v>
      </c>
      <c r="B138" s="40" t="s">
        <v>401</v>
      </c>
      <c r="C138" s="41" t="s">
        <v>388</v>
      </c>
      <c r="D138" s="40" t="s">
        <v>184</v>
      </c>
      <c r="E138" s="40" t="s">
        <v>42</v>
      </c>
      <c r="F138" s="41" t="s">
        <v>266</v>
      </c>
      <c r="G138" s="40" t="s">
        <v>207</v>
      </c>
      <c r="H138" s="40" t="s">
        <v>389</v>
      </c>
      <c r="I138" s="40" t="s">
        <v>267</v>
      </c>
      <c r="J138" s="40" t="s">
        <v>390</v>
      </c>
      <c r="K138" s="40" t="s">
        <v>391</v>
      </c>
      <c r="L138" s="40" t="s">
        <v>191</v>
      </c>
    </row>
    <row r="139" customFormat="false" ht="26.25" hidden="false" customHeight="true" outlineLevel="0" collapsed="false">
      <c r="A139" s="40" t="s">
        <v>93</v>
      </c>
      <c r="B139" s="40" t="s">
        <v>402</v>
      </c>
      <c r="C139" s="41" t="s">
        <v>384</v>
      </c>
      <c r="D139" s="40" t="s">
        <v>184</v>
      </c>
      <c r="E139" s="40" t="s">
        <v>43</v>
      </c>
      <c r="F139" s="41" t="s">
        <v>269</v>
      </c>
      <c r="G139" s="40" t="s">
        <v>212</v>
      </c>
      <c r="H139" s="40" t="s">
        <v>385</v>
      </c>
      <c r="I139" s="40" t="s">
        <v>270</v>
      </c>
      <c r="J139" s="40" t="s">
        <v>8</v>
      </c>
      <c r="K139" s="40" t="s">
        <v>386</v>
      </c>
      <c r="L139" s="40" t="s">
        <v>191</v>
      </c>
    </row>
    <row r="140" customFormat="false" ht="26.25" hidden="false" customHeight="true" outlineLevel="0" collapsed="false">
      <c r="A140" s="40" t="s">
        <v>93</v>
      </c>
      <c r="B140" s="40" t="s">
        <v>403</v>
      </c>
      <c r="C140" s="41" t="s">
        <v>388</v>
      </c>
      <c r="D140" s="40" t="s">
        <v>184</v>
      </c>
      <c r="E140" s="40" t="s">
        <v>43</v>
      </c>
      <c r="F140" s="41" t="s">
        <v>269</v>
      </c>
      <c r="G140" s="40" t="s">
        <v>212</v>
      </c>
      <c r="H140" s="40" t="s">
        <v>389</v>
      </c>
      <c r="I140" s="40" t="s">
        <v>270</v>
      </c>
      <c r="J140" s="40" t="s">
        <v>390</v>
      </c>
      <c r="K140" s="40" t="s">
        <v>391</v>
      </c>
      <c r="L140" s="40" t="s">
        <v>191</v>
      </c>
    </row>
    <row r="141" customFormat="false" ht="26.25" hidden="false" customHeight="true" outlineLevel="0" collapsed="false">
      <c r="A141" s="40" t="s">
        <v>93</v>
      </c>
      <c r="B141" s="40" t="s">
        <v>404</v>
      </c>
      <c r="C141" s="41" t="s">
        <v>384</v>
      </c>
      <c r="D141" s="40" t="s">
        <v>184</v>
      </c>
      <c r="E141" s="40" t="s">
        <v>44</v>
      </c>
      <c r="F141" s="41" t="s">
        <v>272</v>
      </c>
      <c r="G141" s="40" t="s">
        <v>217</v>
      </c>
      <c r="H141" s="40" t="s">
        <v>385</v>
      </c>
      <c r="I141" s="40" t="s">
        <v>273</v>
      </c>
      <c r="J141" s="40" t="s">
        <v>8</v>
      </c>
      <c r="K141" s="40" t="s">
        <v>386</v>
      </c>
      <c r="L141" s="40" t="s">
        <v>191</v>
      </c>
    </row>
    <row r="142" customFormat="false" ht="26.25" hidden="false" customHeight="true" outlineLevel="0" collapsed="false">
      <c r="A142" s="40" t="s">
        <v>93</v>
      </c>
      <c r="B142" s="40" t="s">
        <v>405</v>
      </c>
      <c r="C142" s="41" t="s">
        <v>388</v>
      </c>
      <c r="D142" s="40" t="s">
        <v>184</v>
      </c>
      <c r="E142" s="40" t="s">
        <v>44</v>
      </c>
      <c r="F142" s="41" t="s">
        <v>272</v>
      </c>
      <c r="G142" s="40" t="s">
        <v>217</v>
      </c>
      <c r="H142" s="40" t="s">
        <v>389</v>
      </c>
      <c r="I142" s="40" t="s">
        <v>273</v>
      </c>
      <c r="J142" s="40" t="s">
        <v>390</v>
      </c>
      <c r="K142" s="40" t="s">
        <v>391</v>
      </c>
      <c r="L142" s="40" t="s">
        <v>191</v>
      </c>
    </row>
    <row r="143" customFormat="false" ht="26.25" hidden="false" customHeight="true" outlineLevel="0" collapsed="false">
      <c r="A143" s="40" t="s">
        <v>93</v>
      </c>
      <c r="B143" s="40" t="s">
        <v>313</v>
      </c>
      <c r="C143" s="41" t="s">
        <v>406</v>
      </c>
      <c r="D143" s="40" t="s">
        <v>184</v>
      </c>
      <c r="E143" s="40" t="s">
        <v>37</v>
      </c>
      <c r="F143" s="40" t="s">
        <v>245</v>
      </c>
      <c r="G143" s="40" t="s">
        <v>246</v>
      </c>
      <c r="H143" s="40" t="s">
        <v>385</v>
      </c>
      <c r="I143" s="40" t="s">
        <v>248</v>
      </c>
      <c r="J143" s="40" t="s">
        <v>8</v>
      </c>
      <c r="K143" s="40" t="s">
        <v>386</v>
      </c>
      <c r="L143" s="40" t="s">
        <v>191</v>
      </c>
    </row>
    <row r="144" customFormat="false" ht="26.25" hidden="false" customHeight="true" outlineLevel="0" collapsed="false">
      <c r="A144" s="40" t="s">
        <v>93</v>
      </c>
      <c r="B144" s="40" t="s">
        <v>407</v>
      </c>
      <c r="C144" s="41" t="s">
        <v>408</v>
      </c>
      <c r="D144" s="40" t="s">
        <v>184</v>
      </c>
      <c r="E144" s="40" t="s">
        <v>37</v>
      </c>
      <c r="F144" s="40" t="s">
        <v>245</v>
      </c>
      <c r="G144" s="40" t="s">
        <v>246</v>
      </c>
      <c r="H144" s="40" t="s">
        <v>389</v>
      </c>
      <c r="I144" s="40" t="s">
        <v>248</v>
      </c>
      <c r="J144" s="40" t="s">
        <v>390</v>
      </c>
      <c r="K144" s="40" t="s">
        <v>391</v>
      </c>
      <c r="L144" s="40" t="s">
        <v>191</v>
      </c>
    </row>
    <row r="145" customFormat="false" ht="26.25" hidden="false" customHeight="true" outlineLevel="0" collapsed="false">
      <c r="A145" s="40" t="s">
        <v>93</v>
      </c>
      <c r="B145" s="40" t="s">
        <v>316</v>
      </c>
      <c r="C145" s="41" t="s">
        <v>406</v>
      </c>
      <c r="D145" s="40" t="s">
        <v>184</v>
      </c>
      <c r="E145" s="40" t="s">
        <v>38</v>
      </c>
      <c r="F145" s="40" t="s">
        <v>254</v>
      </c>
      <c r="G145" s="40" t="s">
        <v>186</v>
      </c>
      <c r="H145" s="40" t="s">
        <v>385</v>
      </c>
      <c r="I145" s="40" t="s">
        <v>255</v>
      </c>
      <c r="J145" s="40" t="s">
        <v>8</v>
      </c>
      <c r="K145" s="40" t="s">
        <v>386</v>
      </c>
      <c r="L145" s="40" t="s">
        <v>191</v>
      </c>
    </row>
    <row r="146" customFormat="false" ht="26.25" hidden="false" customHeight="true" outlineLevel="0" collapsed="false">
      <c r="A146" s="40" t="s">
        <v>93</v>
      </c>
      <c r="B146" s="40" t="s">
        <v>409</v>
      </c>
      <c r="C146" s="41" t="s">
        <v>408</v>
      </c>
      <c r="D146" s="40" t="s">
        <v>184</v>
      </c>
      <c r="E146" s="40" t="s">
        <v>38</v>
      </c>
      <c r="F146" s="40" t="s">
        <v>254</v>
      </c>
      <c r="G146" s="40" t="s">
        <v>186</v>
      </c>
      <c r="H146" s="40" t="s">
        <v>389</v>
      </c>
      <c r="I146" s="40" t="s">
        <v>255</v>
      </c>
      <c r="J146" s="40" t="s">
        <v>390</v>
      </c>
      <c r="K146" s="40" t="s">
        <v>391</v>
      </c>
      <c r="L146" s="40" t="s">
        <v>191</v>
      </c>
    </row>
    <row r="147" customFormat="false" ht="26.25" hidden="false" customHeight="true" outlineLevel="0" collapsed="false">
      <c r="A147" s="40" t="s">
        <v>93</v>
      </c>
      <c r="B147" s="40" t="s">
        <v>318</v>
      </c>
      <c r="C147" s="41" t="s">
        <v>406</v>
      </c>
      <c r="D147" s="40" t="s">
        <v>184</v>
      </c>
      <c r="E147" s="40" t="s">
        <v>39</v>
      </c>
      <c r="F147" s="41" t="s">
        <v>257</v>
      </c>
      <c r="G147" s="40" t="s">
        <v>194</v>
      </c>
      <c r="H147" s="40" t="s">
        <v>385</v>
      </c>
      <c r="I147" s="40" t="s">
        <v>258</v>
      </c>
      <c r="J147" s="40" t="s">
        <v>8</v>
      </c>
      <c r="K147" s="40" t="s">
        <v>386</v>
      </c>
      <c r="L147" s="40" t="s">
        <v>191</v>
      </c>
    </row>
    <row r="148" customFormat="false" ht="26.25" hidden="false" customHeight="true" outlineLevel="0" collapsed="false">
      <c r="A148" s="40" t="s">
        <v>93</v>
      </c>
      <c r="B148" s="40" t="s">
        <v>410</v>
      </c>
      <c r="C148" s="41" t="s">
        <v>408</v>
      </c>
      <c r="D148" s="40" t="s">
        <v>184</v>
      </c>
      <c r="E148" s="40" t="s">
        <v>39</v>
      </c>
      <c r="F148" s="41" t="s">
        <v>257</v>
      </c>
      <c r="G148" s="40" t="s">
        <v>194</v>
      </c>
      <c r="H148" s="40" t="s">
        <v>389</v>
      </c>
      <c r="I148" s="40" t="s">
        <v>258</v>
      </c>
      <c r="J148" s="40" t="s">
        <v>390</v>
      </c>
      <c r="K148" s="40" t="s">
        <v>391</v>
      </c>
      <c r="L148" s="40" t="s">
        <v>191</v>
      </c>
    </row>
    <row r="149" customFormat="false" ht="26.25" hidden="false" customHeight="true" outlineLevel="0" collapsed="false">
      <c r="A149" s="40" t="s">
        <v>93</v>
      </c>
      <c r="B149" s="40" t="s">
        <v>320</v>
      </c>
      <c r="C149" s="41" t="s">
        <v>406</v>
      </c>
      <c r="D149" s="40" t="s">
        <v>184</v>
      </c>
      <c r="E149" s="40" t="s">
        <v>40</v>
      </c>
      <c r="F149" s="41" t="s">
        <v>260</v>
      </c>
      <c r="G149" s="40" t="s">
        <v>198</v>
      </c>
      <c r="H149" s="40" t="s">
        <v>385</v>
      </c>
      <c r="I149" s="40" t="s">
        <v>261</v>
      </c>
      <c r="J149" s="40" t="s">
        <v>8</v>
      </c>
      <c r="K149" s="40" t="s">
        <v>386</v>
      </c>
      <c r="L149" s="40" t="s">
        <v>191</v>
      </c>
    </row>
    <row r="150" customFormat="false" ht="26.25" hidden="false" customHeight="true" outlineLevel="0" collapsed="false">
      <c r="A150" s="40" t="s">
        <v>93</v>
      </c>
      <c r="B150" s="40" t="s">
        <v>411</v>
      </c>
      <c r="C150" s="41" t="s">
        <v>408</v>
      </c>
      <c r="D150" s="40" t="s">
        <v>184</v>
      </c>
      <c r="E150" s="40" t="s">
        <v>40</v>
      </c>
      <c r="F150" s="41" t="s">
        <v>260</v>
      </c>
      <c r="G150" s="40" t="s">
        <v>198</v>
      </c>
      <c r="H150" s="40" t="s">
        <v>389</v>
      </c>
      <c r="I150" s="40" t="s">
        <v>261</v>
      </c>
      <c r="J150" s="40" t="s">
        <v>390</v>
      </c>
      <c r="K150" s="40" t="s">
        <v>391</v>
      </c>
      <c r="L150" s="40" t="s">
        <v>191</v>
      </c>
    </row>
    <row r="151" customFormat="false" ht="26.25" hidden="false" customHeight="true" outlineLevel="0" collapsed="false">
      <c r="A151" s="40" t="s">
        <v>93</v>
      </c>
      <c r="B151" s="40" t="s">
        <v>322</v>
      </c>
      <c r="C151" s="41" t="s">
        <v>406</v>
      </c>
      <c r="D151" s="40" t="s">
        <v>184</v>
      </c>
      <c r="E151" s="40" t="s">
        <v>41</v>
      </c>
      <c r="F151" s="41" t="s">
        <v>263</v>
      </c>
      <c r="G151" s="40" t="s">
        <v>202</v>
      </c>
      <c r="H151" s="40" t="s">
        <v>385</v>
      </c>
      <c r="I151" s="40" t="s">
        <v>264</v>
      </c>
      <c r="J151" s="40" t="s">
        <v>8</v>
      </c>
      <c r="K151" s="40" t="s">
        <v>386</v>
      </c>
      <c r="L151" s="40" t="s">
        <v>191</v>
      </c>
    </row>
    <row r="152" customFormat="false" ht="26.25" hidden="false" customHeight="true" outlineLevel="0" collapsed="false">
      <c r="A152" s="40" t="s">
        <v>93</v>
      </c>
      <c r="B152" s="40" t="s">
        <v>412</v>
      </c>
      <c r="C152" s="41" t="s">
        <v>408</v>
      </c>
      <c r="D152" s="40" t="s">
        <v>184</v>
      </c>
      <c r="E152" s="40" t="s">
        <v>41</v>
      </c>
      <c r="F152" s="41" t="s">
        <v>263</v>
      </c>
      <c r="G152" s="40" t="s">
        <v>202</v>
      </c>
      <c r="H152" s="40" t="s">
        <v>389</v>
      </c>
      <c r="I152" s="40" t="s">
        <v>264</v>
      </c>
      <c r="J152" s="40" t="s">
        <v>390</v>
      </c>
      <c r="K152" s="40" t="s">
        <v>391</v>
      </c>
      <c r="L152" s="40" t="s">
        <v>191</v>
      </c>
    </row>
    <row r="153" customFormat="false" ht="26.25" hidden="false" customHeight="true" outlineLevel="0" collapsed="false">
      <c r="A153" s="40" t="s">
        <v>93</v>
      </c>
      <c r="B153" s="40" t="s">
        <v>324</v>
      </c>
      <c r="C153" s="41" t="s">
        <v>406</v>
      </c>
      <c r="D153" s="40" t="s">
        <v>184</v>
      </c>
      <c r="E153" s="40" t="s">
        <v>42</v>
      </c>
      <c r="F153" s="41" t="s">
        <v>266</v>
      </c>
      <c r="G153" s="40" t="s">
        <v>207</v>
      </c>
      <c r="H153" s="40" t="s">
        <v>385</v>
      </c>
      <c r="I153" s="40" t="s">
        <v>267</v>
      </c>
      <c r="J153" s="40" t="s">
        <v>8</v>
      </c>
      <c r="K153" s="40" t="s">
        <v>386</v>
      </c>
      <c r="L153" s="40" t="s">
        <v>191</v>
      </c>
    </row>
    <row r="154" customFormat="false" ht="26.25" hidden="false" customHeight="true" outlineLevel="0" collapsed="false">
      <c r="A154" s="40" t="s">
        <v>93</v>
      </c>
      <c r="B154" s="40" t="s">
        <v>413</v>
      </c>
      <c r="C154" s="41" t="s">
        <v>408</v>
      </c>
      <c r="D154" s="40" t="s">
        <v>184</v>
      </c>
      <c r="E154" s="40" t="s">
        <v>42</v>
      </c>
      <c r="F154" s="41" t="s">
        <v>266</v>
      </c>
      <c r="G154" s="40" t="s">
        <v>207</v>
      </c>
      <c r="H154" s="40" t="s">
        <v>389</v>
      </c>
      <c r="I154" s="40" t="s">
        <v>267</v>
      </c>
      <c r="J154" s="40" t="s">
        <v>390</v>
      </c>
      <c r="K154" s="40" t="s">
        <v>391</v>
      </c>
      <c r="L154" s="40" t="s">
        <v>191</v>
      </c>
    </row>
    <row r="155" customFormat="false" ht="26.25" hidden="false" customHeight="true" outlineLevel="0" collapsed="false">
      <c r="A155" s="40" t="s">
        <v>93</v>
      </c>
      <c r="B155" s="40" t="s">
        <v>326</v>
      </c>
      <c r="C155" s="41" t="s">
        <v>406</v>
      </c>
      <c r="D155" s="40" t="s">
        <v>184</v>
      </c>
      <c r="E155" s="40" t="s">
        <v>43</v>
      </c>
      <c r="F155" s="41" t="s">
        <v>269</v>
      </c>
      <c r="G155" s="40" t="s">
        <v>212</v>
      </c>
      <c r="H155" s="40" t="s">
        <v>385</v>
      </c>
      <c r="I155" s="40" t="s">
        <v>270</v>
      </c>
      <c r="J155" s="40" t="s">
        <v>8</v>
      </c>
      <c r="K155" s="40" t="s">
        <v>386</v>
      </c>
      <c r="L155" s="40" t="s">
        <v>191</v>
      </c>
    </row>
    <row r="156" customFormat="false" ht="26.25" hidden="false" customHeight="true" outlineLevel="0" collapsed="false">
      <c r="A156" s="40" t="s">
        <v>93</v>
      </c>
      <c r="B156" s="40" t="s">
        <v>414</v>
      </c>
      <c r="C156" s="41" t="s">
        <v>408</v>
      </c>
      <c r="D156" s="40" t="s">
        <v>184</v>
      </c>
      <c r="E156" s="40" t="s">
        <v>43</v>
      </c>
      <c r="F156" s="41" t="s">
        <v>269</v>
      </c>
      <c r="G156" s="40" t="s">
        <v>212</v>
      </c>
      <c r="H156" s="40" t="s">
        <v>389</v>
      </c>
      <c r="I156" s="40" t="s">
        <v>270</v>
      </c>
      <c r="J156" s="40" t="s">
        <v>390</v>
      </c>
      <c r="K156" s="40" t="s">
        <v>391</v>
      </c>
      <c r="L156" s="40" t="s">
        <v>191</v>
      </c>
    </row>
    <row r="157" customFormat="false" ht="26.25" hidden="false" customHeight="true" outlineLevel="0" collapsed="false">
      <c r="A157" s="40" t="s">
        <v>93</v>
      </c>
      <c r="B157" s="40" t="s">
        <v>328</v>
      </c>
      <c r="C157" s="41" t="s">
        <v>406</v>
      </c>
      <c r="D157" s="40" t="s">
        <v>184</v>
      </c>
      <c r="E157" s="40" t="s">
        <v>44</v>
      </c>
      <c r="F157" s="41" t="s">
        <v>272</v>
      </c>
      <c r="G157" s="40" t="s">
        <v>217</v>
      </c>
      <c r="H157" s="40" t="s">
        <v>385</v>
      </c>
      <c r="I157" s="40" t="s">
        <v>273</v>
      </c>
      <c r="J157" s="40" t="s">
        <v>8</v>
      </c>
      <c r="K157" s="40" t="s">
        <v>386</v>
      </c>
      <c r="L157" s="40" t="s">
        <v>191</v>
      </c>
    </row>
    <row r="158" customFormat="false" ht="26.25" hidden="false" customHeight="true" outlineLevel="0" collapsed="false">
      <c r="A158" s="40" t="s">
        <v>93</v>
      </c>
      <c r="B158" s="40" t="s">
        <v>415</v>
      </c>
      <c r="C158" s="41" t="s">
        <v>408</v>
      </c>
      <c r="D158" s="40" t="s">
        <v>184</v>
      </c>
      <c r="E158" s="40" t="s">
        <v>44</v>
      </c>
      <c r="F158" s="41" t="s">
        <v>272</v>
      </c>
      <c r="G158" s="40" t="s">
        <v>217</v>
      </c>
      <c r="H158" s="40" t="s">
        <v>389</v>
      </c>
      <c r="I158" s="40" t="s">
        <v>273</v>
      </c>
      <c r="J158" s="40" t="s">
        <v>390</v>
      </c>
      <c r="K158" s="40" t="s">
        <v>391</v>
      </c>
      <c r="L158" s="40" t="s">
        <v>191</v>
      </c>
    </row>
    <row r="159" customFormat="false" ht="28.5" hidden="false" customHeight="true" outlineLevel="0" collapsed="false">
      <c r="A159" s="40" t="s">
        <v>93</v>
      </c>
      <c r="B159" s="40" t="s">
        <v>416</v>
      </c>
      <c r="C159" s="41" t="s">
        <v>417</v>
      </c>
      <c r="D159" s="40" t="s">
        <v>184</v>
      </c>
      <c r="E159" s="40" t="s">
        <v>37</v>
      </c>
      <c r="F159" s="40" t="s">
        <v>245</v>
      </c>
      <c r="G159" s="40" t="s">
        <v>246</v>
      </c>
      <c r="H159" s="40" t="s">
        <v>385</v>
      </c>
      <c r="I159" s="40" t="s">
        <v>248</v>
      </c>
      <c r="J159" s="40" t="s">
        <v>8</v>
      </c>
      <c r="K159" s="40" t="s">
        <v>386</v>
      </c>
      <c r="L159" s="40" t="s">
        <v>191</v>
      </c>
    </row>
    <row r="160" customFormat="false" ht="28.5" hidden="false" customHeight="true" outlineLevel="0" collapsed="false">
      <c r="A160" s="40" t="s">
        <v>93</v>
      </c>
      <c r="B160" s="40" t="s">
        <v>418</v>
      </c>
      <c r="C160" s="41" t="s">
        <v>419</v>
      </c>
      <c r="D160" s="40" t="s">
        <v>184</v>
      </c>
      <c r="E160" s="40" t="s">
        <v>37</v>
      </c>
      <c r="F160" s="40" t="s">
        <v>245</v>
      </c>
      <c r="G160" s="40" t="s">
        <v>246</v>
      </c>
      <c r="H160" s="40" t="s">
        <v>389</v>
      </c>
      <c r="I160" s="40" t="s">
        <v>248</v>
      </c>
      <c r="J160" s="40" t="s">
        <v>390</v>
      </c>
      <c r="K160" s="40" t="s">
        <v>391</v>
      </c>
      <c r="L160" s="40" t="s">
        <v>191</v>
      </c>
    </row>
    <row r="161" customFormat="false" ht="28.5" hidden="false" customHeight="true" outlineLevel="0" collapsed="false">
      <c r="A161" s="40" t="s">
        <v>93</v>
      </c>
      <c r="B161" s="40" t="s">
        <v>420</v>
      </c>
      <c r="C161" s="41" t="s">
        <v>417</v>
      </c>
      <c r="D161" s="40" t="s">
        <v>184</v>
      </c>
      <c r="E161" s="40" t="s">
        <v>38</v>
      </c>
      <c r="F161" s="40" t="s">
        <v>254</v>
      </c>
      <c r="G161" s="40" t="s">
        <v>186</v>
      </c>
      <c r="H161" s="40" t="s">
        <v>385</v>
      </c>
      <c r="I161" s="40" t="s">
        <v>255</v>
      </c>
      <c r="J161" s="40" t="s">
        <v>8</v>
      </c>
      <c r="K161" s="40" t="s">
        <v>386</v>
      </c>
      <c r="L161" s="40" t="s">
        <v>191</v>
      </c>
    </row>
    <row r="162" customFormat="false" ht="28.5" hidden="false" customHeight="true" outlineLevel="0" collapsed="false">
      <c r="A162" s="40" t="s">
        <v>93</v>
      </c>
      <c r="B162" s="40" t="s">
        <v>421</v>
      </c>
      <c r="C162" s="41" t="s">
        <v>419</v>
      </c>
      <c r="D162" s="40" t="s">
        <v>184</v>
      </c>
      <c r="E162" s="40" t="s">
        <v>38</v>
      </c>
      <c r="F162" s="40" t="s">
        <v>254</v>
      </c>
      <c r="G162" s="40" t="s">
        <v>186</v>
      </c>
      <c r="H162" s="40" t="s">
        <v>389</v>
      </c>
      <c r="I162" s="40" t="s">
        <v>255</v>
      </c>
      <c r="J162" s="40" t="s">
        <v>390</v>
      </c>
      <c r="K162" s="40" t="s">
        <v>391</v>
      </c>
      <c r="L162" s="40" t="s">
        <v>191</v>
      </c>
    </row>
    <row r="163" customFormat="false" ht="28.5" hidden="false" customHeight="true" outlineLevel="0" collapsed="false">
      <c r="A163" s="40" t="s">
        <v>93</v>
      </c>
      <c r="B163" s="40" t="s">
        <v>422</v>
      </c>
      <c r="C163" s="41" t="s">
        <v>417</v>
      </c>
      <c r="D163" s="40" t="s">
        <v>184</v>
      </c>
      <c r="E163" s="40" t="s">
        <v>39</v>
      </c>
      <c r="F163" s="41" t="s">
        <v>257</v>
      </c>
      <c r="G163" s="40" t="s">
        <v>194</v>
      </c>
      <c r="H163" s="40" t="s">
        <v>385</v>
      </c>
      <c r="I163" s="40" t="s">
        <v>258</v>
      </c>
      <c r="J163" s="40" t="s">
        <v>8</v>
      </c>
      <c r="K163" s="40" t="s">
        <v>386</v>
      </c>
      <c r="L163" s="40" t="s">
        <v>191</v>
      </c>
    </row>
    <row r="164" customFormat="false" ht="28.5" hidden="false" customHeight="true" outlineLevel="0" collapsed="false">
      <c r="A164" s="40" t="s">
        <v>93</v>
      </c>
      <c r="B164" s="40" t="s">
        <v>423</v>
      </c>
      <c r="C164" s="41" t="s">
        <v>419</v>
      </c>
      <c r="D164" s="40" t="s">
        <v>184</v>
      </c>
      <c r="E164" s="40" t="s">
        <v>39</v>
      </c>
      <c r="F164" s="41" t="s">
        <v>257</v>
      </c>
      <c r="G164" s="40" t="s">
        <v>194</v>
      </c>
      <c r="H164" s="40" t="s">
        <v>389</v>
      </c>
      <c r="I164" s="40" t="s">
        <v>258</v>
      </c>
      <c r="J164" s="40" t="s">
        <v>390</v>
      </c>
      <c r="K164" s="40" t="s">
        <v>391</v>
      </c>
      <c r="L164" s="40" t="s">
        <v>191</v>
      </c>
    </row>
    <row r="165" customFormat="false" ht="28.5" hidden="false" customHeight="true" outlineLevel="0" collapsed="false">
      <c r="A165" s="40" t="s">
        <v>93</v>
      </c>
      <c r="B165" s="40" t="s">
        <v>424</v>
      </c>
      <c r="C165" s="41" t="s">
        <v>417</v>
      </c>
      <c r="D165" s="40" t="s">
        <v>184</v>
      </c>
      <c r="E165" s="40" t="s">
        <v>40</v>
      </c>
      <c r="F165" s="41" t="s">
        <v>260</v>
      </c>
      <c r="G165" s="40" t="s">
        <v>198</v>
      </c>
      <c r="H165" s="40" t="s">
        <v>385</v>
      </c>
      <c r="I165" s="40" t="s">
        <v>261</v>
      </c>
      <c r="J165" s="40" t="s">
        <v>8</v>
      </c>
      <c r="K165" s="40" t="s">
        <v>386</v>
      </c>
      <c r="L165" s="40" t="s">
        <v>191</v>
      </c>
    </row>
    <row r="166" customFormat="false" ht="28.5" hidden="false" customHeight="true" outlineLevel="0" collapsed="false">
      <c r="A166" s="40" t="s">
        <v>93</v>
      </c>
      <c r="B166" s="40" t="s">
        <v>425</v>
      </c>
      <c r="C166" s="41" t="s">
        <v>419</v>
      </c>
      <c r="D166" s="40" t="s">
        <v>184</v>
      </c>
      <c r="E166" s="40" t="s">
        <v>40</v>
      </c>
      <c r="F166" s="41" t="s">
        <v>260</v>
      </c>
      <c r="G166" s="40" t="s">
        <v>198</v>
      </c>
      <c r="H166" s="40" t="s">
        <v>389</v>
      </c>
      <c r="I166" s="40" t="s">
        <v>261</v>
      </c>
      <c r="J166" s="40" t="s">
        <v>390</v>
      </c>
      <c r="K166" s="40" t="s">
        <v>391</v>
      </c>
      <c r="L166" s="40" t="s">
        <v>191</v>
      </c>
    </row>
    <row r="167" customFormat="false" ht="28.5" hidden="false" customHeight="true" outlineLevel="0" collapsed="false">
      <c r="A167" s="40" t="s">
        <v>93</v>
      </c>
      <c r="B167" s="40" t="s">
        <v>426</v>
      </c>
      <c r="C167" s="41" t="s">
        <v>417</v>
      </c>
      <c r="D167" s="40" t="s">
        <v>184</v>
      </c>
      <c r="E167" s="40" t="s">
        <v>41</v>
      </c>
      <c r="F167" s="41" t="s">
        <v>263</v>
      </c>
      <c r="G167" s="40" t="s">
        <v>202</v>
      </c>
      <c r="H167" s="40" t="s">
        <v>385</v>
      </c>
      <c r="I167" s="40" t="s">
        <v>264</v>
      </c>
      <c r="J167" s="40" t="s">
        <v>8</v>
      </c>
      <c r="K167" s="40" t="s">
        <v>386</v>
      </c>
      <c r="L167" s="40" t="s">
        <v>191</v>
      </c>
    </row>
    <row r="168" customFormat="false" ht="28.5" hidden="false" customHeight="true" outlineLevel="0" collapsed="false">
      <c r="A168" s="40" t="s">
        <v>93</v>
      </c>
      <c r="B168" s="40" t="s">
        <v>427</v>
      </c>
      <c r="C168" s="41" t="s">
        <v>419</v>
      </c>
      <c r="D168" s="40" t="s">
        <v>184</v>
      </c>
      <c r="E168" s="40" t="s">
        <v>41</v>
      </c>
      <c r="F168" s="41" t="s">
        <v>263</v>
      </c>
      <c r="G168" s="40" t="s">
        <v>202</v>
      </c>
      <c r="H168" s="40" t="s">
        <v>389</v>
      </c>
      <c r="I168" s="40" t="s">
        <v>264</v>
      </c>
      <c r="J168" s="40" t="s">
        <v>390</v>
      </c>
      <c r="K168" s="40" t="s">
        <v>391</v>
      </c>
      <c r="L168" s="40" t="s">
        <v>191</v>
      </c>
    </row>
    <row r="169" customFormat="false" ht="28.5" hidden="false" customHeight="true" outlineLevel="0" collapsed="false">
      <c r="A169" s="40" t="s">
        <v>93</v>
      </c>
      <c r="B169" s="40" t="s">
        <v>428</v>
      </c>
      <c r="C169" s="41" t="s">
        <v>417</v>
      </c>
      <c r="D169" s="40" t="s">
        <v>184</v>
      </c>
      <c r="E169" s="40" t="s">
        <v>42</v>
      </c>
      <c r="F169" s="41" t="s">
        <v>266</v>
      </c>
      <c r="G169" s="40" t="s">
        <v>207</v>
      </c>
      <c r="H169" s="40" t="s">
        <v>385</v>
      </c>
      <c r="I169" s="40" t="s">
        <v>267</v>
      </c>
      <c r="J169" s="40" t="s">
        <v>8</v>
      </c>
      <c r="K169" s="40" t="s">
        <v>386</v>
      </c>
      <c r="L169" s="40" t="s">
        <v>191</v>
      </c>
    </row>
    <row r="170" customFormat="false" ht="28.5" hidden="false" customHeight="true" outlineLevel="0" collapsed="false">
      <c r="A170" s="40" t="s">
        <v>93</v>
      </c>
      <c r="B170" s="40" t="s">
        <v>429</v>
      </c>
      <c r="C170" s="41" t="s">
        <v>419</v>
      </c>
      <c r="D170" s="40" t="s">
        <v>184</v>
      </c>
      <c r="E170" s="40" t="s">
        <v>42</v>
      </c>
      <c r="F170" s="41" t="s">
        <v>266</v>
      </c>
      <c r="G170" s="40" t="s">
        <v>207</v>
      </c>
      <c r="H170" s="40" t="s">
        <v>389</v>
      </c>
      <c r="I170" s="40" t="s">
        <v>267</v>
      </c>
      <c r="J170" s="40" t="s">
        <v>390</v>
      </c>
      <c r="K170" s="40" t="s">
        <v>391</v>
      </c>
      <c r="L170" s="40" t="s">
        <v>191</v>
      </c>
    </row>
    <row r="171" customFormat="false" ht="28.5" hidden="false" customHeight="true" outlineLevel="0" collapsed="false">
      <c r="A171" s="40" t="s">
        <v>93</v>
      </c>
      <c r="B171" s="40" t="s">
        <v>430</v>
      </c>
      <c r="C171" s="41" t="s">
        <v>417</v>
      </c>
      <c r="D171" s="40" t="s">
        <v>184</v>
      </c>
      <c r="E171" s="40" t="s">
        <v>43</v>
      </c>
      <c r="F171" s="41" t="s">
        <v>269</v>
      </c>
      <c r="G171" s="40" t="s">
        <v>212</v>
      </c>
      <c r="H171" s="40" t="s">
        <v>385</v>
      </c>
      <c r="I171" s="40" t="s">
        <v>270</v>
      </c>
      <c r="J171" s="40" t="s">
        <v>8</v>
      </c>
      <c r="K171" s="40" t="s">
        <v>386</v>
      </c>
      <c r="L171" s="40" t="s">
        <v>191</v>
      </c>
    </row>
    <row r="172" customFormat="false" ht="28.5" hidden="false" customHeight="true" outlineLevel="0" collapsed="false">
      <c r="A172" s="40" t="s">
        <v>93</v>
      </c>
      <c r="B172" s="40" t="s">
        <v>431</v>
      </c>
      <c r="C172" s="41" t="s">
        <v>419</v>
      </c>
      <c r="D172" s="40" t="s">
        <v>184</v>
      </c>
      <c r="E172" s="40" t="s">
        <v>43</v>
      </c>
      <c r="F172" s="41" t="s">
        <v>269</v>
      </c>
      <c r="G172" s="40" t="s">
        <v>212</v>
      </c>
      <c r="H172" s="40" t="s">
        <v>389</v>
      </c>
      <c r="I172" s="40" t="s">
        <v>270</v>
      </c>
      <c r="J172" s="40" t="s">
        <v>390</v>
      </c>
      <c r="K172" s="40" t="s">
        <v>391</v>
      </c>
      <c r="L172" s="40" t="s">
        <v>191</v>
      </c>
    </row>
    <row r="173" customFormat="false" ht="28.5" hidden="false" customHeight="true" outlineLevel="0" collapsed="false">
      <c r="A173" s="40" t="s">
        <v>93</v>
      </c>
      <c r="B173" s="40" t="s">
        <v>432</v>
      </c>
      <c r="C173" s="41" t="s">
        <v>417</v>
      </c>
      <c r="D173" s="40" t="s">
        <v>184</v>
      </c>
      <c r="E173" s="40" t="s">
        <v>44</v>
      </c>
      <c r="F173" s="41" t="s">
        <v>272</v>
      </c>
      <c r="G173" s="40" t="s">
        <v>217</v>
      </c>
      <c r="H173" s="40" t="s">
        <v>385</v>
      </c>
      <c r="I173" s="40" t="s">
        <v>273</v>
      </c>
      <c r="J173" s="40" t="s">
        <v>8</v>
      </c>
      <c r="K173" s="40" t="s">
        <v>386</v>
      </c>
      <c r="L173" s="40" t="s">
        <v>191</v>
      </c>
    </row>
    <row r="174" customFormat="false" ht="28.5" hidden="false" customHeight="true" outlineLevel="0" collapsed="false">
      <c r="A174" s="40" t="s">
        <v>93</v>
      </c>
      <c r="B174" s="40" t="s">
        <v>433</v>
      </c>
      <c r="C174" s="41" t="s">
        <v>419</v>
      </c>
      <c r="D174" s="40" t="s">
        <v>184</v>
      </c>
      <c r="E174" s="40" t="s">
        <v>44</v>
      </c>
      <c r="F174" s="41" t="s">
        <v>272</v>
      </c>
      <c r="G174" s="40" t="s">
        <v>217</v>
      </c>
      <c r="H174" s="40" t="s">
        <v>389</v>
      </c>
      <c r="I174" s="40" t="s">
        <v>273</v>
      </c>
      <c r="J174" s="40" t="s">
        <v>390</v>
      </c>
      <c r="K174" s="40" t="s">
        <v>391</v>
      </c>
      <c r="L174" s="40" t="s">
        <v>191</v>
      </c>
    </row>
    <row r="175" customFormat="false" ht="26.25" hidden="false" customHeight="true" outlineLevel="0" collapsed="false">
      <c r="A175" s="40" t="s">
        <v>103</v>
      </c>
      <c r="B175" s="40" t="s">
        <v>434</v>
      </c>
      <c r="C175" s="40" t="s">
        <v>435</v>
      </c>
      <c r="D175" s="40" t="s">
        <v>184</v>
      </c>
      <c r="E175" s="40" t="s">
        <v>37</v>
      </c>
      <c r="F175" s="40" t="s">
        <v>245</v>
      </c>
      <c r="G175" s="40" t="s">
        <v>246</v>
      </c>
      <c r="H175" s="40" t="s">
        <v>385</v>
      </c>
      <c r="I175" s="40" t="s">
        <v>248</v>
      </c>
      <c r="J175" s="40" t="s">
        <v>8</v>
      </c>
      <c r="K175" s="40" t="s">
        <v>436</v>
      </c>
      <c r="L175" s="40" t="s">
        <v>191</v>
      </c>
    </row>
    <row r="176" customFormat="false" ht="26.25" hidden="false" customHeight="true" outlineLevel="0" collapsed="false">
      <c r="A176" s="40" t="s">
        <v>103</v>
      </c>
      <c r="B176" s="40" t="s">
        <v>437</v>
      </c>
      <c r="C176" s="40" t="s">
        <v>438</v>
      </c>
      <c r="D176" s="40" t="s">
        <v>184</v>
      </c>
      <c r="E176" s="40" t="s">
        <v>37</v>
      </c>
      <c r="F176" s="40" t="s">
        <v>245</v>
      </c>
      <c r="G176" s="40" t="s">
        <v>246</v>
      </c>
      <c r="H176" s="40" t="s">
        <v>385</v>
      </c>
      <c r="I176" s="40" t="s">
        <v>248</v>
      </c>
      <c r="J176" s="40" t="s">
        <v>8</v>
      </c>
      <c r="K176" s="40" t="s">
        <v>436</v>
      </c>
      <c r="L176" s="40" t="s">
        <v>191</v>
      </c>
    </row>
    <row r="177" customFormat="false" ht="26.25" hidden="false" customHeight="true" outlineLevel="0" collapsed="false">
      <c r="A177" s="40" t="s">
        <v>103</v>
      </c>
      <c r="B177" s="40" t="s">
        <v>439</v>
      </c>
      <c r="C177" s="40" t="s">
        <v>435</v>
      </c>
      <c r="D177" s="40" t="s">
        <v>184</v>
      </c>
      <c r="E177" s="40" t="s">
        <v>38</v>
      </c>
      <c r="F177" s="40" t="s">
        <v>254</v>
      </c>
      <c r="G177" s="40" t="s">
        <v>186</v>
      </c>
      <c r="H177" s="40" t="s">
        <v>385</v>
      </c>
      <c r="I177" s="40" t="s">
        <v>255</v>
      </c>
      <c r="J177" s="40" t="s">
        <v>8</v>
      </c>
      <c r="K177" s="40" t="s">
        <v>436</v>
      </c>
      <c r="L177" s="40" t="s">
        <v>191</v>
      </c>
    </row>
    <row r="178" customFormat="false" ht="26.25" hidden="false" customHeight="true" outlineLevel="0" collapsed="false">
      <c r="A178" s="40" t="s">
        <v>103</v>
      </c>
      <c r="B178" s="40" t="s">
        <v>440</v>
      </c>
      <c r="C178" s="40" t="s">
        <v>438</v>
      </c>
      <c r="D178" s="40" t="s">
        <v>184</v>
      </c>
      <c r="E178" s="40" t="s">
        <v>38</v>
      </c>
      <c r="F178" s="40" t="s">
        <v>254</v>
      </c>
      <c r="G178" s="40" t="s">
        <v>186</v>
      </c>
      <c r="H178" s="40" t="s">
        <v>385</v>
      </c>
      <c r="I178" s="40" t="s">
        <v>255</v>
      </c>
      <c r="J178" s="40" t="s">
        <v>8</v>
      </c>
      <c r="K178" s="40" t="s">
        <v>436</v>
      </c>
      <c r="L178" s="40" t="s">
        <v>191</v>
      </c>
    </row>
    <row r="179" customFormat="false" ht="26.25" hidden="false" customHeight="true" outlineLevel="0" collapsed="false">
      <c r="A179" s="40" t="s">
        <v>103</v>
      </c>
      <c r="B179" s="40" t="s">
        <v>441</v>
      </c>
      <c r="C179" s="40" t="s">
        <v>435</v>
      </c>
      <c r="D179" s="40" t="s">
        <v>184</v>
      </c>
      <c r="E179" s="40" t="s">
        <v>39</v>
      </c>
      <c r="F179" s="41" t="s">
        <v>257</v>
      </c>
      <c r="G179" s="40" t="s">
        <v>194</v>
      </c>
      <c r="H179" s="40" t="s">
        <v>385</v>
      </c>
      <c r="I179" s="40" t="s">
        <v>258</v>
      </c>
      <c r="J179" s="40" t="s">
        <v>8</v>
      </c>
      <c r="K179" s="40" t="s">
        <v>436</v>
      </c>
      <c r="L179" s="40" t="s">
        <v>191</v>
      </c>
    </row>
    <row r="180" customFormat="false" ht="26.25" hidden="false" customHeight="true" outlineLevel="0" collapsed="false">
      <c r="A180" s="40" t="s">
        <v>103</v>
      </c>
      <c r="B180" s="40" t="s">
        <v>442</v>
      </c>
      <c r="C180" s="40" t="s">
        <v>438</v>
      </c>
      <c r="D180" s="40" t="s">
        <v>184</v>
      </c>
      <c r="E180" s="40" t="s">
        <v>39</v>
      </c>
      <c r="F180" s="41" t="s">
        <v>257</v>
      </c>
      <c r="G180" s="40" t="s">
        <v>194</v>
      </c>
      <c r="H180" s="40" t="s">
        <v>385</v>
      </c>
      <c r="I180" s="40" t="s">
        <v>258</v>
      </c>
      <c r="J180" s="40" t="s">
        <v>8</v>
      </c>
      <c r="K180" s="40" t="s">
        <v>436</v>
      </c>
      <c r="L180" s="40" t="s">
        <v>191</v>
      </c>
    </row>
    <row r="181" customFormat="false" ht="26.25" hidden="false" customHeight="true" outlineLevel="0" collapsed="false">
      <c r="A181" s="40" t="s">
        <v>103</v>
      </c>
      <c r="B181" s="40" t="s">
        <v>443</v>
      </c>
      <c r="C181" s="40" t="s">
        <v>435</v>
      </c>
      <c r="D181" s="40" t="s">
        <v>184</v>
      </c>
      <c r="E181" s="40" t="s">
        <v>40</v>
      </c>
      <c r="F181" s="41" t="s">
        <v>260</v>
      </c>
      <c r="G181" s="40" t="s">
        <v>198</v>
      </c>
      <c r="H181" s="40" t="s">
        <v>385</v>
      </c>
      <c r="I181" s="40" t="s">
        <v>261</v>
      </c>
      <c r="J181" s="40" t="s">
        <v>8</v>
      </c>
      <c r="K181" s="40" t="s">
        <v>436</v>
      </c>
      <c r="L181" s="40" t="s">
        <v>191</v>
      </c>
    </row>
    <row r="182" customFormat="false" ht="26.25" hidden="false" customHeight="true" outlineLevel="0" collapsed="false">
      <c r="A182" s="40" t="s">
        <v>103</v>
      </c>
      <c r="B182" s="40" t="s">
        <v>444</v>
      </c>
      <c r="C182" s="40" t="s">
        <v>438</v>
      </c>
      <c r="D182" s="40" t="s">
        <v>184</v>
      </c>
      <c r="E182" s="40" t="s">
        <v>40</v>
      </c>
      <c r="F182" s="41" t="s">
        <v>260</v>
      </c>
      <c r="G182" s="40" t="s">
        <v>198</v>
      </c>
      <c r="H182" s="40" t="s">
        <v>385</v>
      </c>
      <c r="I182" s="40" t="s">
        <v>261</v>
      </c>
      <c r="J182" s="40" t="s">
        <v>8</v>
      </c>
      <c r="K182" s="40" t="s">
        <v>436</v>
      </c>
      <c r="L182" s="40" t="s">
        <v>191</v>
      </c>
    </row>
    <row r="183" customFormat="false" ht="26.25" hidden="false" customHeight="true" outlineLevel="0" collapsed="false">
      <c r="A183" s="40" t="s">
        <v>103</v>
      </c>
      <c r="B183" s="40" t="s">
        <v>355</v>
      </c>
      <c r="C183" s="40" t="s">
        <v>445</v>
      </c>
      <c r="D183" s="40" t="s">
        <v>184</v>
      </c>
      <c r="E183" s="40" t="s">
        <v>40</v>
      </c>
      <c r="F183" s="41" t="s">
        <v>260</v>
      </c>
      <c r="G183" s="40" t="s">
        <v>198</v>
      </c>
      <c r="H183" s="40" t="s">
        <v>385</v>
      </c>
      <c r="I183" s="40" t="s">
        <v>261</v>
      </c>
      <c r="J183" s="40" t="s">
        <v>8</v>
      </c>
      <c r="K183" s="40" t="s">
        <v>436</v>
      </c>
      <c r="L183" s="40" t="s">
        <v>191</v>
      </c>
    </row>
    <row r="184" customFormat="false" ht="26.25" hidden="false" customHeight="true" outlineLevel="0" collapsed="false">
      <c r="A184" s="40" t="s">
        <v>103</v>
      </c>
      <c r="B184" s="40" t="s">
        <v>446</v>
      </c>
      <c r="C184" s="40" t="s">
        <v>447</v>
      </c>
      <c r="D184" s="40" t="s">
        <v>184</v>
      </c>
      <c r="E184" s="40" t="s">
        <v>40</v>
      </c>
      <c r="F184" s="41" t="s">
        <v>260</v>
      </c>
      <c r="G184" s="40" t="s">
        <v>198</v>
      </c>
      <c r="H184" s="40" t="s">
        <v>385</v>
      </c>
      <c r="I184" s="40" t="s">
        <v>261</v>
      </c>
      <c r="J184" s="40" t="s">
        <v>8</v>
      </c>
      <c r="K184" s="40" t="s">
        <v>436</v>
      </c>
      <c r="L184" s="40" t="s">
        <v>191</v>
      </c>
    </row>
    <row r="185" customFormat="false" ht="26.25" hidden="false" customHeight="true" outlineLevel="0" collapsed="false">
      <c r="A185" s="40" t="s">
        <v>103</v>
      </c>
      <c r="B185" s="40" t="s">
        <v>448</v>
      </c>
      <c r="C185" s="40" t="s">
        <v>435</v>
      </c>
      <c r="D185" s="40" t="s">
        <v>184</v>
      </c>
      <c r="E185" s="40" t="s">
        <v>41</v>
      </c>
      <c r="F185" s="41" t="s">
        <v>263</v>
      </c>
      <c r="G185" s="40" t="s">
        <v>202</v>
      </c>
      <c r="H185" s="40" t="s">
        <v>385</v>
      </c>
      <c r="I185" s="40" t="s">
        <v>264</v>
      </c>
      <c r="J185" s="40" t="s">
        <v>8</v>
      </c>
      <c r="K185" s="40" t="s">
        <v>436</v>
      </c>
      <c r="L185" s="40" t="s">
        <v>191</v>
      </c>
    </row>
    <row r="186" customFormat="false" ht="26.25" hidden="false" customHeight="true" outlineLevel="0" collapsed="false">
      <c r="A186" s="40" t="s">
        <v>103</v>
      </c>
      <c r="B186" s="40" t="s">
        <v>449</v>
      </c>
      <c r="C186" s="40" t="s">
        <v>438</v>
      </c>
      <c r="D186" s="40" t="s">
        <v>184</v>
      </c>
      <c r="E186" s="40" t="s">
        <v>41</v>
      </c>
      <c r="F186" s="41" t="s">
        <v>263</v>
      </c>
      <c r="G186" s="40" t="s">
        <v>202</v>
      </c>
      <c r="H186" s="40" t="s">
        <v>385</v>
      </c>
      <c r="I186" s="40" t="s">
        <v>264</v>
      </c>
      <c r="J186" s="40" t="s">
        <v>8</v>
      </c>
      <c r="K186" s="40" t="s">
        <v>436</v>
      </c>
      <c r="L186" s="40" t="s">
        <v>191</v>
      </c>
    </row>
    <row r="187" customFormat="false" ht="26.25" hidden="false" customHeight="true" outlineLevel="0" collapsed="false">
      <c r="A187" s="40" t="s">
        <v>103</v>
      </c>
      <c r="B187" s="40" t="s">
        <v>357</v>
      </c>
      <c r="C187" s="40" t="s">
        <v>445</v>
      </c>
      <c r="D187" s="40" t="s">
        <v>184</v>
      </c>
      <c r="E187" s="40" t="s">
        <v>41</v>
      </c>
      <c r="F187" s="41" t="s">
        <v>263</v>
      </c>
      <c r="G187" s="40" t="s">
        <v>202</v>
      </c>
      <c r="H187" s="40" t="s">
        <v>385</v>
      </c>
      <c r="I187" s="40" t="s">
        <v>264</v>
      </c>
      <c r="J187" s="40" t="s">
        <v>8</v>
      </c>
      <c r="K187" s="40" t="s">
        <v>436</v>
      </c>
      <c r="L187" s="40" t="s">
        <v>191</v>
      </c>
    </row>
    <row r="188" customFormat="false" ht="26.25" hidden="false" customHeight="true" outlineLevel="0" collapsed="false">
      <c r="A188" s="40" t="s">
        <v>103</v>
      </c>
      <c r="B188" s="40" t="s">
        <v>450</v>
      </c>
      <c r="C188" s="40" t="s">
        <v>447</v>
      </c>
      <c r="D188" s="40" t="s">
        <v>184</v>
      </c>
      <c r="E188" s="40" t="s">
        <v>41</v>
      </c>
      <c r="F188" s="41" t="s">
        <v>263</v>
      </c>
      <c r="G188" s="40" t="s">
        <v>202</v>
      </c>
      <c r="H188" s="40" t="s">
        <v>385</v>
      </c>
      <c r="I188" s="40" t="s">
        <v>264</v>
      </c>
      <c r="J188" s="40" t="s">
        <v>8</v>
      </c>
      <c r="K188" s="40" t="s">
        <v>436</v>
      </c>
      <c r="L188" s="40" t="s">
        <v>191</v>
      </c>
    </row>
    <row r="189" customFormat="false" ht="26.25" hidden="false" customHeight="true" outlineLevel="0" collapsed="false">
      <c r="A189" s="40" t="s">
        <v>103</v>
      </c>
      <c r="B189" s="40" t="s">
        <v>451</v>
      </c>
      <c r="C189" s="40" t="s">
        <v>435</v>
      </c>
      <c r="D189" s="40" t="s">
        <v>184</v>
      </c>
      <c r="E189" s="40" t="s">
        <v>42</v>
      </c>
      <c r="F189" s="41" t="s">
        <v>266</v>
      </c>
      <c r="G189" s="40" t="s">
        <v>207</v>
      </c>
      <c r="H189" s="40" t="s">
        <v>385</v>
      </c>
      <c r="I189" s="40" t="s">
        <v>267</v>
      </c>
      <c r="J189" s="40" t="s">
        <v>8</v>
      </c>
      <c r="K189" s="40" t="s">
        <v>436</v>
      </c>
      <c r="L189" s="40" t="s">
        <v>191</v>
      </c>
    </row>
    <row r="190" customFormat="false" ht="26.25" hidden="false" customHeight="true" outlineLevel="0" collapsed="false">
      <c r="A190" s="40" t="s">
        <v>103</v>
      </c>
      <c r="B190" s="40" t="s">
        <v>452</v>
      </c>
      <c r="C190" s="40" t="s">
        <v>438</v>
      </c>
      <c r="D190" s="40" t="s">
        <v>184</v>
      </c>
      <c r="E190" s="40" t="s">
        <v>42</v>
      </c>
      <c r="F190" s="41" t="s">
        <v>266</v>
      </c>
      <c r="G190" s="40" t="s">
        <v>207</v>
      </c>
      <c r="H190" s="40" t="s">
        <v>385</v>
      </c>
      <c r="I190" s="40" t="s">
        <v>267</v>
      </c>
      <c r="J190" s="40" t="s">
        <v>8</v>
      </c>
      <c r="K190" s="40" t="s">
        <v>436</v>
      </c>
      <c r="L190" s="40" t="s">
        <v>191</v>
      </c>
    </row>
    <row r="191" customFormat="false" ht="26.25" hidden="false" customHeight="true" outlineLevel="0" collapsed="false">
      <c r="A191" s="40" t="s">
        <v>103</v>
      </c>
      <c r="B191" s="40" t="s">
        <v>359</v>
      </c>
      <c r="C191" s="40" t="s">
        <v>445</v>
      </c>
      <c r="D191" s="40" t="s">
        <v>184</v>
      </c>
      <c r="E191" s="40" t="s">
        <v>42</v>
      </c>
      <c r="F191" s="41" t="s">
        <v>266</v>
      </c>
      <c r="G191" s="40" t="s">
        <v>207</v>
      </c>
      <c r="H191" s="40" t="s">
        <v>385</v>
      </c>
      <c r="I191" s="40" t="s">
        <v>267</v>
      </c>
      <c r="J191" s="40" t="s">
        <v>8</v>
      </c>
      <c r="K191" s="40" t="s">
        <v>436</v>
      </c>
      <c r="L191" s="40" t="s">
        <v>191</v>
      </c>
    </row>
    <row r="192" customFormat="false" ht="26.25" hidden="false" customHeight="true" outlineLevel="0" collapsed="false">
      <c r="A192" s="40" t="s">
        <v>103</v>
      </c>
      <c r="B192" s="40" t="s">
        <v>453</v>
      </c>
      <c r="C192" s="40" t="s">
        <v>447</v>
      </c>
      <c r="D192" s="40" t="s">
        <v>184</v>
      </c>
      <c r="E192" s="40" t="s">
        <v>42</v>
      </c>
      <c r="F192" s="41" t="s">
        <v>266</v>
      </c>
      <c r="G192" s="40" t="s">
        <v>207</v>
      </c>
      <c r="H192" s="40" t="s">
        <v>385</v>
      </c>
      <c r="I192" s="40" t="s">
        <v>267</v>
      </c>
      <c r="J192" s="40" t="s">
        <v>8</v>
      </c>
      <c r="K192" s="40" t="s">
        <v>436</v>
      </c>
      <c r="L192" s="40" t="s">
        <v>191</v>
      </c>
    </row>
    <row r="193" customFormat="false" ht="26.25" hidden="false" customHeight="true" outlineLevel="0" collapsed="false">
      <c r="A193" s="40" t="s">
        <v>103</v>
      </c>
      <c r="B193" s="40" t="s">
        <v>454</v>
      </c>
      <c r="C193" s="40" t="s">
        <v>435</v>
      </c>
      <c r="D193" s="40" t="s">
        <v>184</v>
      </c>
      <c r="E193" s="40" t="s">
        <v>43</v>
      </c>
      <c r="F193" s="41" t="s">
        <v>269</v>
      </c>
      <c r="G193" s="40" t="s">
        <v>212</v>
      </c>
      <c r="H193" s="40" t="s">
        <v>385</v>
      </c>
      <c r="I193" s="40" t="s">
        <v>270</v>
      </c>
      <c r="J193" s="40" t="s">
        <v>8</v>
      </c>
      <c r="K193" s="40" t="s">
        <v>436</v>
      </c>
      <c r="L193" s="40" t="s">
        <v>191</v>
      </c>
    </row>
    <row r="194" customFormat="false" ht="26.25" hidden="false" customHeight="true" outlineLevel="0" collapsed="false">
      <c r="A194" s="40" t="s">
        <v>103</v>
      </c>
      <c r="B194" s="40" t="s">
        <v>455</v>
      </c>
      <c r="C194" s="40" t="s">
        <v>438</v>
      </c>
      <c r="D194" s="40" t="s">
        <v>184</v>
      </c>
      <c r="E194" s="40" t="s">
        <v>43</v>
      </c>
      <c r="F194" s="41" t="s">
        <v>269</v>
      </c>
      <c r="G194" s="40" t="s">
        <v>212</v>
      </c>
      <c r="H194" s="40" t="s">
        <v>385</v>
      </c>
      <c r="I194" s="40" t="s">
        <v>270</v>
      </c>
      <c r="J194" s="40" t="s">
        <v>8</v>
      </c>
      <c r="K194" s="40" t="s">
        <v>436</v>
      </c>
      <c r="L194" s="40" t="s">
        <v>191</v>
      </c>
    </row>
    <row r="195" customFormat="false" ht="26.25" hidden="false" customHeight="true" outlineLevel="0" collapsed="false">
      <c r="A195" s="40" t="s">
        <v>103</v>
      </c>
      <c r="B195" s="40" t="s">
        <v>361</v>
      </c>
      <c r="C195" s="40" t="s">
        <v>445</v>
      </c>
      <c r="D195" s="40" t="s">
        <v>184</v>
      </c>
      <c r="E195" s="40" t="s">
        <v>43</v>
      </c>
      <c r="F195" s="41" t="s">
        <v>269</v>
      </c>
      <c r="G195" s="40" t="s">
        <v>212</v>
      </c>
      <c r="H195" s="40" t="s">
        <v>385</v>
      </c>
      <c r="I195" s="40" t="s">
        <v>270</v>
      </c>
      <c r="J195" s="40" t="s">
        <v>8</v>
      </c>
      <c r="K195" s="40" t="s">
        <v>436</v>
      </c>
      <c r="L195" s="40" t="s">
        <v>191</v>
      </c>
    </row>
    <row r="196" customFormat="false" ht="26.25" hidden="false" customHeight="true" outlineLevel="0" collapsed="false">
      <c r="A196" s="40" t="s">
        <v>103</v>
      </c>
      <c r="B196" s="40" t="s">
        <v>456</v>
      </c>
      <c r="C196" s="40" t="s">
        <v>447</v>
      </c>
      <c r="D196" s="40" t="s">
        <v>184</v>
      </c>
      <c r="E196" s="40" t="s">
        <v>43</v>
      </c>
      <c r="F196" s="41" t="s">
        <v>269</v>
      </c>
      <c r="G196" s="40" t="s">
        <v>212</v>
      </c>
      <c r="H196" s="40" t="s">
        <v>385</v>
      </c>
      <c r="I196" s="40" t="s">
        <v>270</v>
      </c>
      <c r="J196" s="40" t="s">
        <v>8</v>
      </c>
      <c r="K196" s="40" t="s">
        <v>436</v>
      </c>
      <c r="L196" s="40" t="s">
        <v>191</v>
      </c>
    </row>
    <row r="197" customFormat="false" ht="26.25" hidden="false" customHeight="true" outlineLevel="0" collapsed="false">
      <c r="A197" s="40" t="s">
        <v>103</v>
      </c>
      <c r="B197" s="40" t="s">
        <v>457</v>
      </c>
      <c r="C197" s="40" t="s">
        <v>435</v>
      </c>
      <c r="D197" s="40" t="s">
        <v>184</v>
      </c>
      <c r="E197" s="40" t="s">
        <v>44</v>
      </c>
      <c r="F197" s="41" t="s">
        <v>272</v>
      </c>
      <c r="G197" s="40" t="s">
        <v>217</v>
      </c>
      <c r="H197" s="40" t="s">
        <v>385</v>
      </c>
      <c r="I197" s="40" t="s">
        <v>273</v>
      </c>
      <c r="J197" s="40" t="s">
        <v>8</v>
      </c>
      <c r="K197" s="40" t="s">
        <v>436</v>
      </c>
      <c r="L197" s="40" t="s">
        <v>191</v>
      </c>
    </row>
    <row r="198" customFormat="false" ht="26.25" hidden="false" customHeight="true" outlineLevel="0" collapsed="false">
      <c r="A198" s="40" t="s">
        <v>103</v>
      </c>
      <c r="B198" s="40" t="s">
        <v>458</v>
      </c>
      <c r="C198" s="40" t="s">
        <v>438</v>
      </c>
      <c r="D198" s="40" t="s">
        <v>184</v>
      </c>
      <c r="E198" s="40" t="s">
        <v>44</v>
      </c>
      <c r="F198" s="41" t="s">
        <v>272</v>
      </c>
      <c r="G198" s="40" t="s">
        <v>217</v>
      </c>
      <c r="H198" s="40" t="s">
        <v>385</v>
      </c>
      <c r="I198" s="40" t="s">
        <v>273</v>
      </c>
      <c r="J198" s="40" t="s">
        <v>8</v>
      </c>
      <c r="K198" s="40" t="s">
        <v>436</v>
      </c>
      <c r="L198" s="40" t="s">
        <v>191</v>
      </c>
    </row>
    <row r="199" customFormat="false" ht="26.25" hidden="false" customHeight="true" outlineLevel="0" collapsed="false">
      <c r="A199" s="40" t="s">
        <v>103</v>
      </c>
      <c r="B199" s="40" t="s">
        <v>363</v>
      </c>
      <c r="C199" s="40" t="s">
        <v>445</v>
      </c>
      <c r="D199" s="40" t="s">
        <v>184</v>
      </c>
      <c r="E199" s="40" t="s">
        <v>44</v>
      </c>
      <c r="F199" s="41" t="s">
        <v>272</v>
      </c>
      <c r="G199" s="40" t="s">
        <v>217</v>
      </c>
      <c r="H199" s="40" t="s">
        <v>385</v>
      </c>
      <c r="I199" s="40" t="s">
        <v>273</v>
      </c>
      <c r="J199" s="40" t="s">
        <v>8</v>
      </c>
      <c r="K199" s="40" t="s">
        <v>436</v>
      </c>
      <c r="L199" s="40" t="s">
        <v>191</v>
      </c>
    </row>
    <row r="200" customFormat="false" ht="26.25" hidden="false" customHeight="true" outlineLevel="0" collapsed="false">
      <c r="A200" s="40" t="s">
        <v>103</v>
      </c>
      <c r="B200" s="40" t="s">
        <v>459</v>
      </c>
      <c r="C200" s="40" t="s">
        <v>447</v>
      </c>
      <c r="D200" s="40" t="s">
        <v>184</v>
      </c>
      <c r="E200" s="40" t="s">
        <v>44</v>
      </c>
      <c r="F200" s="41" t="s">
        <v>272</v>
      </c>
      <c r="G200" s="40" t="s">
        <v>217</v>
      </c>
      <c r="H200" s="40" t="s">
        <v>385</v>
      </c>
      <c r="I200" s="40" t="s">
        <v>273</v>
      </c>
      <c r="J200" s="40" t="s">
        <v>8</v>
      </c>
      <c r="K200" s="40" t="s">
        <v>436</v>
      </c>
      <c r="L200" s="40" t="s">
        <v>191</v>
      </c>
    </row>
    <row r="201" customFormat="false" ht="15.75" hidden="false" customHeight="true" outlineLevel="0" collapsed="false">
      <c r="A201" s="40" t="s">
        <v>460</v>
      </c>
      <c r="B201" s="40" t="s">
        <v>243</v>
      </c>
      <c r="C201" s="40" t="s">
        <v>461</v>
      </c>
      <c r="D201" s="40" t="s">
        <v>184</v>
      </c>
      <c r="E201" s="40" t="s">
        <v>37</v>
      </c>
      <c r="F201" s="40" t="s">
        <v>245</v>
      </c>
      <c r="G201" s="40" t="s">
        <v>246</v>
      </c>
      <c r="H201" s="40" t="s">
        <v>462</v>
      </c>
      <c r="I201" s="40" t="s">
        <v>248</v>
      </c>
      <c r="J201" s="40" t="s">
        <v>8</v>
      </c>
      <c r="K201" s="40" t="s">
        <v>463</v>
      </c>
      <c r="L201" s="40" t="s">
        <v>191</v>
      </c>
    </row>
    <row r="202" customFormat="false" ht="15.75" hidden="false" customHeight="true" outlineLevel="0" collapsed="false">
      <c r="A202" s="40" t="s">
        <v>460</v>
      </c>
      <c r="B202" s="40" t="s">
        <v>387</v>
      </c>
      <c r="C202" s="40" t="s">
        <v>464</v>
      </c>
      <c r="D202" s="40" t="s">
        <v>184</v>
      </c>
      <c r="E202" s="40" t="s">
        <v>37</v>
      </c>
      <c r="F202" s="40" t="s">
        <v>245</v>
      </c>
      <c r="G202" s="40" t="s">
        <v>246</v>
      </c>
      <c r="H202" s="40" t="s">
        <v>462</v>
      </c>
      <c r="I202" s="40" t="s">
        <v>248</v>
      </c>
      <c r="J202" s="40" t="s">
        <v>8</v>
      </c>
      <c r="K202" s="40" t="s">
        <v>463</v>
      </c>
      <c r="L202" s="40" t="s">
        <v>191</v>
      </c>
    </row>
    <row r="203" customFormat="false" ht="15.75" hidden="false" customHeight="true" outlineLevel="0" collapsed="false">
      <c r="A203" s="40" t="s">
        <v>460</v>
      </c>
      <c r="B203" s="40" t="s">
        <v>465</v>
      </c>
      <c r="C203" s="40" t="s">
        <v>466</v>
      </c>
      <c r="D203" s="40" t="s">
        <v>184</v>
      </c>
      <c r="E203" s="40" t="s">
        <v>37</v>
      </c>
      <c r="F203" s="40" t="s">
        <v>245</v>
      </c>
      <c r="G203" s="40" t="s">
        <v>246</v>
      </c>
      <c r="H203" s="40" t="s">
        <v>462</v>
      </c>
      <c r="I203" s="40" t="s">
        <v>248</v>
      </c>
      <c r="J203" s="40" t="s">
        <v>8</v>
      </c>
      <c r="K203" s="40" t="s">
        <v>463</v>
      </c>
      <c r="L203" s="40" t="s">
        <v>191</v>
      </c>
    </row>
    <row r="204" customFormat="false" ht="15.75" hidden="false" customHeight="true" outlineLevel="0" collapsed="false">
      <c r="A204" s="40" t="s">
        <v>460</v>
      </c>
      <c r="B204" s="40" t="s">
        <v>311</v>
      </c>
      <c r="C204" s="40" t="s">
        <v>467</v>
      </c>
      <c r="D204" s="40" t="s">
        <v>184</v>
      </c>
      <c r="E204" s="40" t="s">
        <v>37</v>
      </c>
      <c r="F204" s="40" t="s">
        <v>245</v>
      </c>
      <c r="G204" s="40" t="s">
        <v>246</v>
      </c>
      <c r="H204" s="40" t="s">
        <v>462</v>
      </c>
      <c r="I204" s="40" t="s">
        <v>248</v>
      </c>
      <c r="J204" s="40" t="s">
        <v>8</v>
      </c>
      <c r="K204" s="40" t="s">
        <v>463</v>
      </c>
      <c r="L204" s="40" t="s">
        <v>191</v>
      </c>
    </row>
    <row r="205" customFormat="false" ht="15.75" hidden="false" customHeight="true" outlineLevel="0" collapsed="false">
      <c r="A205" s="40" t="s">
        <v>460</v>
      </c>
      <c r="B205" s="40" t="s">
        <v>182</v>
      </c>
      <c r="C205" s="40" t="s">
        <v>461</v>
      </c>
      <c r="D205" s="40" t="s">
        <v>184</v>
      </c>
      <c r="E205" s="40" t="s">
        <v>38</v>
      </c>
      <c r="F205" s="40" t="s">
        <v>254</v>
      </c>
      <c r="G205" s="40" t="s">
        <v>186</v>
      </c>
      <c r="H205" s="40" t="s">
        <v>462</v>
      </c>
      <c r="I205" s="40" t="s">
        <v>255</v>
      </c>
      <c r="J205" s="40" t="s">
        <v>8</v>
      </c>
      <c r="K205" s="40" t="s">
        <v>463</v>
      </c>
      <c r="L205" s="40" t="s">
        <v>191</v>
      </c>
    </row>
    <row r="206" customFormat="false" ht="15.75" hidden="false" customHeight="true" outlineLevel="0" collapsed="false">
      <c r="A206" s="40" t="s">
        <v>460</v>
      </c>
      <c r="B206" s="40" t="s">
        <v>393</v>
      </c>
      <c r="C206" s="40" t="s">
        <v>464</v>
      </c>
      <c r="D206" s="40" t="s">
        <v>184</v>
      </c>
      <c r="E206" s="40" t="s">
        <v>38</v>
      </c>
      <c r="F206" s="40" t="s">
        <v>254</v>
      </c>
      <c r="G206" s="40" t="s">
        <v>186</v>
      </c>
      <c r="H206" s="40" t="s">
        <v>462</v>
      </c>
      <c r="I206" s="40" t="s">
        <v>255</v>
      </c>
      <c r="J206" s="40" t="s">
        <v>8</v>
      </c>
      <c r="K206" s="40" t="s">
        <v>463</v>
      </c>
      <c r="L206" s="40" t="s">
        <v>191</v>
      </c>
    </row>
    <row r="207" customFormat="false" ht="15.75" hidden="false" customHeight="true" outlineLevel="0" collapsed="false">
      <c r="A207" s="40" t="s">
        <v>460</v>
      </c>
      <c r="B207" s="40" t="s">
        <v>468</v>
      </c>
      <c r="C207" s="40" t="s">
        <v>466</v>
      </c>
      <c r="D207" s="40" t="s">
        <v>184</v>
      </c>
      <c r="E207" s="40" t="s">
        <v>38</v>
      </c>
      <c r="F207" s="40" t="s">
        <v>254</v>
      </c>
      <c r="G207" s="40" t="s">
        <v>186</v>
      </c>
      <c r="H207" s="40" t="s">
        <v>462</v>
      </c>
      <c r="I207" s="40" t="s">
        <v>255</v>
      </c>
      <c r="J207" s="40" t="s">
        <v>8</v>
      </c>
      <c r="K207" s="40" t="s">
        <v>463</v>
      </c>
      <c r="L207" s="40" t="s">
        <v>191</v>
      </c>
    </row>
    <row r="208" customFormat="false" ht="15.75" hidden="false" customHeight="true" outlineLevel="0" collapsed="false">
      <c r="A208" s="40" t="s">
        <v>460</v>
      </c>
      <c r="B208" s="40" t="s">
        <v>315</v>
      </c>
      <c r="C208" s="40" t="s">
        <v>467</v>
      </c>
      <c r="D208" s="40" t="s">
        <v>184</v>
      </c>
      <c r="E208" s="40" t="s">
        <v>38</v>
      </c>
      <c r="F208" s="40" t="s">
        <v>254</v>
      </c>
      <c r="G208" s="40" t="s">
        <v>186</v>
      </c>
      <c r="H208" s="40" t="s">
        <v>462</v>
      </c>
      <c r="I208" s="40" t="s">
        <v>255</v>
      </c>
      <c r="J208" s="40" t="s">
        <v>8</v>
      </c>
      <c r="K208" s="40" t="s">
        <v>463</v>
      </c>
      <c r="L208" s="40" t="s">
        <v>191</v>
      </c>
    </row>
    <row r="209" customFormat="false" ht="15.75" hidden="false" customHeight="true" outlineLevel="0" collapsed="false">
      <c r="A209" s="40" t="s">
        <v>460</v>
      </c>
      <c r="B209" s="40" t="s">
        <v>192</v>
      </c>
      <c r="C209" s="40" t="s">
        <v>461</v>
      </c>
      <c r="D209" s="40" t="s">
        <v>184</v>
      </c>
      <c r="E209" s="40" t="s">
        <v>39</v>
      </c>
      <c r="F209" s="41" t="s">
        <v>257</v>
      </c>
      <c r="G209" s="40" t="s">
        <v>194</v>
      </c>
      <c r="H209" s="40" t="s">
        <v>462</v>
      </c>
      <c r="I209" s="40" t="s">
        <v>258</v>
      </c>
      <c r="J209" s="40" t="s">
        <v>8</v>
      </c>
      <c r="K209" s="40" t="s">
        <v>463</v>
      </c>
      <c r="L209" s="40" t="s">
        <v>191</v>
      </c>
    </row>
    <row r="210" customFormat="false" ht="15.75" hidden="false" customHeight="true" outlineLevel="0" collapsed="false">
      <c r="A210" s="40" t="s">
        <v>460</v>
      </c>
      <c r="B210" s="40" t="s">
        <v>395</v>
      </c>
      <c r="C210" s="40" t="s">
        <v>464</v>
      </c>
      <c r="D210" s="40" t="s">
        <v>184</v>
      </c>
      <c r="E210" s="40" t="s">
        <v>39</v>
      </c>
      <c r="F210" s="41" t="s">
        <v>257</v>
      </c>
      <c r="G210" s="40" t="s">
        <v>194</v>
      </c>
      <c r="H210" s="40" t="s">
        <v>462</v>
      </c>
      <c r="I210" s="40" t="s">
        <v>258</v>
      </c>
      <c r="J210" s="40" t="s">
        <v>8</v>
      </c>
      <c r="K210" s="40" t="s">
        <v>463</v>
      </c>
      <c r="L210" s="40" t="s">
        <v>191</v>
      </c>
    </row>
    <row r="211" customFormat="false" ht="15.75" hidden="false" customHeight="true" outlineLevel="0" collapsed="false">
      <c r="A211" s="40" t="s">
        <v>460</v>
      </c>
      <c r="B211" s="40" t="s">
        <v>469</v>
      </c>
      <c r="C211" s="40" t="s">
        <v>466</v>
      </c>
      <c r="D211" s="40" t="s">
        <v>184</v>
      </c>
      <c r="E211" s="40" t="s">
        <v>39</v>
      </c>
      <c r="F211" s="41" t="s">
        <v>257</v>
      </c>
      <c r="G211" s="40" t="s">
        <v>194</v>
      </c>
      <c r="H211" s="40" t="s">
        <v>462</v>
      </c>
      <c r="I211" s="40" t="s">
        <v>258</v>
      </c>
      <c r="J211" s="40" t="s">
        <v>8</v>
      </c>
      <c r="K211" s="40" t="s">
        <v>463</v>
      </c>
      <c r="L211" s="40" t="s">
        <v>191</v>
      </c>
    </row>
    <row r="212" customFormat="false" ht="15.75" hidden="false" customHeight="true" outlineLevel="0" collapsed="false">
      <c r="A212" s="40" t="s">
        <v>460</v>
      </c>
      <c r="B212" s="40" t="s">
        <v>317</v>
      </c>
      <c r="C212" s="40" t="s">
        <v>467</v>
      </c>
      <c r="D212" s="40" t="s">
        <v>184</v>
      </c>
      <c r="E212" s="40" t="s">
        <v>39</v>
      </c>
      <c r="F212" s="41" t="s">
        <v>257</v>
      </c>
      <c r="G212" s="40" t="s">
        <v>194</v>
      </c>
      <c r="H212" s="40" t="s">
        <v>462</v>
      </c>
      <c r="I212" s="40" t="s">
        <v>258</v>
      </c>
      <c r="J212" s="40" t="s">
        <v>8</v>
      </c>
      <c r="K212" s="40" t="s">
        <v>463</v>
      </c>
      <c r="L212" s="40" t="s">
        <v>191</v>
      </c>
    </row>
    <row r="213" customFormat="false" ht="15.75" hidden="false" customHeight="true" outlineLevel="0" collapsed="false">
      <c r="A213" s="40" t="s">
        <v>460</v>
      </c>
      <c r="B213" s="40" t="s">
        <v>196</v>
      </c>
      <c r="C213" s="40" t="s">
        <v>461</v>
      </c>
      <c r="D213" s="40" t="s">
        <v>184</v>
      </c>
      <c r="E213" s="40" t="s">
        <v>40</v>
      </c>
      <c r="F213" s="41" t="s">
        <v>260</v>
      </c>
      <c r="G213" s="40" t="s">
        <v>198</v>
      </c>
      <c r="H213" s="40" t="s">
        <v>462</v>
      </c>
      <c r="I213" s="40" t="s">
        <v>261</v>
      </c>
      <c r="J213" s="40" t="s">
        <v>8</v>
      </c>
      <c r="K213" s="40" t="s">
        <v>463</v>
      </c>
      <c r="L213" s="40" t="s">
        <v>191</v>
      </c>
    </row>
    <row r="214" customFormat="false" ht="15.75" hidden="false" customHeight="true" outlineLevel="0" collapsed="false">
      <c r="A214" s="40" t="s">
        <v>460</v>
      </c>
      <c r="B214" s="40" t="s">
        <v>397</v>
      </c>
      <c r="C214" s="40" t="s">
        <v>464</v>
      </c>
      <c r="D214" s="40" t="s">
        <v>184</v>
      </c>
      <c r="E214" s="40" t="s">
        <v>40</v>
      </c>
      <c r="F214" s="41" t="s">
        <v>260</v>
      </c>
      <c r="G214" s="40" t="s">
        <v>198</v>
      </c>
      <c r="H214" s="40" t="s">
        <v>462</v>
      </c>
      <c r="I214" s="40" t="s">
        <v>261</v>
      </c>
      <c r="J214" s="40" t="s">
        <v>8</v>
      </c>
      <c r="K214" s="40" t="s">
        <v>463</v>
      </c>
      <c r="L214" s="40" t="s">
        <v>191</v>
      </c>
    </row>
    <row r="215" customFormat="false" ht="15.75" hidden="false" customHeight="true" outlineLevel="0" collapsed="false">
      <c r="A215" s="40" t="s">
        <v>460</v>
      </c>
      <c r="B215" s="40" t="s">
        <v>470</v>
      </c>
      <c r="C215" s="40" t="s">
        <v>466</v>
      </c>
      <c r="D215" s="40" t="s">
        <v>184</v>
      </c>
      <c r="E215" s="40" t="s">
        <v>40</v>
      </c>
      <c r="F215" s="41" t="s">
        <v>260</v>
      </c>
      <c r="G215" s="40" t="s">
        <v>198</v>
      </c>
      <c r="H215" s="40" t="s">
        <v>462</v>
      </c>
      <c r="I215" s="40" t="s">
        <v>261</v>
      </c>
      <c r="J215" s="40" t="s">
        <v>8</v>
      </c>
      <c r="K215" s="40" t="s">
        <v>463</v>
      </c>
      <c r="L215" s="40" t="s">
        <v>191</v>
      </c>
    </row>
    <row r="216" customFormat="false" ht="15.75" hidden="false" customHeight="true" outlineLevel="0" collapsed="false">
      <c r="A216" s="40" t="s">
        <v>460</v>
      </c>
      <c r="B216" s="40" t="s">
        <v>319</v>
      </c>
      <c r="C216" s="40" t="s">
        <v>467</v>
      </c>
      <c r="D216" s="40" t="s">
        <v>184</v>
      </c>
      <c r="E216" s="40" t="s">
        <v>40</v>
      </c>
      <c r="F216" s="41" t="s">
        <v>260</v>
      </c>
      <c r="G216" s="40" t="s">
        <v>198</v>
      </c>
      <c r="H216" s="40" t="s">
        <v>462</v>
      </c>
      <c r="I216" s="40" t="s">
        <v>261</v>
      </c>
      <c r="J216" s="40" t="s">
        <v>8</v>
      </c>
      <c r="K216" s="40" t="s">
        <v>463</v>
      </c>
      <c r="L216" s="40" t="s">
        <v>191</v>
      </c>
    </row>
    <row r="217" customFormat="false" ht="15.75" hidden="false" customHeight="true" outlineLevel="0" collapsed="false">
      <c r="A217" s="40" t="s">
        <v>460</v>
      </c>
      <c r="B217" s="40" t="s">
        <v>200</v>
      </c>
      <c r="C217" s="40" t="s">
        <v>461</v>
      </c>
      <c r="D217" s="40" t="s">
        <v>184</v>
      </c>
      <c r="E217" s="40" t="s">
        <v>41</v>
      </c>
      <c r="F217" s="41" t="s">
        <v>263</v>
      </c>
      <c r="G217" s="40" t="s">
        <v>202</v>
      </c>
      <c r="H217" s="40" t="s">
        <v>462</v>
      </c>
      <c r="I217" s="40" t="s">
        <v>264</v>
      </c>
      <c r="J217" s="40" t="s">
        <v>8</v>
      </c>
      <c r="K217" s="40" t="s">
        <v>463</v>
      </c>
      <c r="L217" s="40" t="s">
        <v>191</v>
      </c>
    </row>
    <row r="218" customFormat="false" ht="15.75" hidden="false" customHeight="true" outlineLevel="0" collapsed="false">
      <c r="A218" s="40" t="s">
        <v>460</v>
      </c>
      <c r="B218" s="40" t="s">
        <v>399</v>
      </c>
      <c r="C218" s="40" t="s">
        <v>464</v>
      </c>
      <c r="D218" s="40" t="s">
        <v>184</v>
      </c>
      <c r="E218" s="40" t="s">
        <v>41</v>
      </c>
      <c r="F218" s="41" t="s">
        <v>263</v>
      </c>
      <c r="G218" s="40" t="s">
        <v>202</v>
      </c>
      <c r="H218" s="40" t="s">
        <v>462</v>
      </c>
      <c r="I218" s="40" t="s">
        <v>264</v>
      </c>
      <c r="J218" s="40" t="s">
        <v>8</v>
      </c>
      <c r="K218" s="40" t="s">
        <v>463</v>
      </c>
      <c r="L218" s="40" t="s">
        <v>191</v>
      </c>
    </row>
    <row r="219" customFormat="false" ht="15.75" hidden="false" customHeight="true" outlineLevel="0" collapsed="false">
      <c r="A219" s="40" t="s">
        <v>460</v>
      </c>
      <c r="B219" s="40" t="s">
        <v>471</v>
      </c>
      <c r="C219" s="40" t="s">
        <v>466</v>
      </c>
      <c r="D219" s="40" t="s">
        <v>184</v>
      </c>
      <c r="E219" s="40" t="s">
        <v>41</v>
      </c>
      <c r="F219" s="41" t="s">
        <v>263</v>
      </c>
      <c r="G219" s="40" t="s">
        <v>202</v>
      </c>
      <c r="H219" s="40" t="s">
        <v>462</v>
      </c>
      <c r="I219" s="40" t="s">
        <v>264</v>
      </c>
      <c r="J219" s="40" t="s">
        <v>8</v>
      </c>
      <c r="K219" s="40" t="s">
        <v>463</v>
      </c>
      <c r="L219" s="40" t="s">
        <v>191</v>
      </c>
    </row>
    <row r="220" customFormat="false" ht="15.75" hidden="false" customHeight="true" outlineLevel="0" collapsed="false">
      <c r="A220" s="40" t="s">
        <v>460</v>
      </c>
      <c r="B220" s="40" t="s">
        <v>321</v>
      </c>
      <c r="C220" s="40" t="s">
        <v>467</v>
      </c>
      <c r="D220" s="40" t="s">
        <v>184</v>
      </c>
      <c r="E220" s="40" t="s">
        <v>41</v>
      </c>
      <c r="F220" s="41" t="s">
        <v>263</v>
      </c>
      <c r="G220" s="40" t="s">
        <v>202</v>
      </c>
      <c r="H220" s="40" t="s">
        <v>462</v>
      </c>
      <c r="I220" s="40" t="s">
        <v>264</v>
      </c>
      <c r="J220" s="40" t="s">
        <v>8</v>
      </c>
      <c r="K220" s="40" t="s">
        <v>463</v>
      </c>
      <c r="L220" s="40" t="s">
        <v>191</v>
      </c>
    </row>
    <row r="221" customFormat="false" ht="15.75" hidden="false" customHeight="true" outlineLevel="0" collapsed="false">
      <c r="A221" s="40" t="s">
        <v>460</v>
      </c>
      <c r="B221" s="40" t="s">
        <v>209</v>
      </c>
      <c r="C221" s="40" t="s">
        <v>461</v>
      </c>
      <c r="D221" s="40" t="s">
        <v>184</v>
      </c>
      <c r="E221" s="40" t="s">
        <v>42</v>
      </c>
      <c r="F221" s="41" t="s">
        <v>266</v>
      </c>
      <c r="G221" s="40" t="s">
        <v>207</v>
      </c>
      <c r="H221" s="40" t="s">
        <v>462</v>
      </c>
      <c r="I221" s="40" t="s">
        <v>267</v>
      </c>
      <c r="J221" s="40" t="s">
        <v>8</v>
      </c>
      <c r="K221" s="40" t="s">
        <v>463</v>
      </c>
      <c r="L221" s="40" t="s">
        <v>191</v>
      </c>
    </row>
    <row r="222" customFormat="false" ht="15.75" hidden="false" customHeight="true" outlineLevel="0" collapsed="false">
      <c r="A222" s="40" t="s">
        <v>460</v>
      </c>
      <c r="B222" s="40" t="s">
        <v>401</v>
      </c>
      <c r="C222" s="40" t="s">
        <v>464</v>
      </c>
      <c r="D222" s="40" t="s">
        <v>184</v>
      </c>
      <c r="E222" s="40" t="s">
        <v>42</v>
      </c>
      <c r="F222" s="41" t="s">
        <v>266</v>
      </c>
      <c r="G222" s="40" t="s">
        <v>207</v>
      </c>
      <c r="H222" s="40" t="s">
        <v>462</v>
      </c>
      <c r="I222" s="40" t="s">
        <v>267</v>
      </c>
      <c r="J222" s="40" t="s">
        <v>8</v>
      </c>
      <c r="K222" s="40" t="s">
        <v>463</v>
      </c>
      <c r="L222" s="40" t="s">
        <v>191</v>
      </c>
    </row>
    <row r="223" customFormat="false" ht="15.75" hidden="false" customHeight="true" outlineLevel="0" collapsed="false">
      <c r="A223" s="40" t="s">
        <v>460</v>
      </c>
      <c r="B223" s="40" t="s">
        <v>472</v>
      </c>
      <c r="C223" s="40" t="s">
        <v>466</v>
      </c>
      <c r="D223" s="40" t="s">
        <v>184</v>
      </c>
      <c r="E223" s="40" t="s">
        <v>42</v>
      </c>
      <c r="F223" s="41" t="s">
        <v>266</v>
      </c>
      <c r="G223" s="40" t="s">
        <v>207</v>
      </c>
      <c r="H223" s="40" t="s">
        <v>462</v>
      </c>
      <c r="I223" s="40" t="s">
        <v>267</v>
      </c>
      <c r="J223" s="40" t="s">
        <v>8</v>
      </c>
      <c r="K223" s="40" t="s">
        <v>463</v>
      </c>
      <c r="L223" s="40" t="s">
        <v>191</v>
      </c>
    </row>
    <row r="224" customFormat="false" ht="15.75" hidden="false" customHeight="true" outlineLevel="0" collapsed="false">
      <c r="A224" s="40" t="s">
        <v>460</v>
      </c>
      <c r="B224" s="40" t="s">
        <v>323</v>
      </c>
      <c r="C224" s="40" t="s">
        <v>467</v>
      </c>
      <c r="D224" s="40" t="s">
        <v>184</v>
      </c>
      <c r="E224" s="40" t="s">
        <v>42</v>
      </c>
      <c r="F224" s="41" t="s">
        <v>266</v>
      </c>
      <c r="G224" s="40" t="s">
        <v>207</v>
      </c>
      <c r="H224" s="40" t="s">
        <v>462</v>
      </c>
      <c r="I224" s="40" t="s">
        <v>267</v>
      </c>
      <c r="J224" s="40" t="s">
        <v>8</v>
      </c>
      <c r="K224" s="40" t="s">
        <v>463</v>
      </c>
      <c r="L224" s="40" t="s">
        <v>191</v>
      </c>
    </row>
    <row r="225" customFormat="false" ht="15.75" hidden="false" customHeight="true" outlineLevel="0" collapsed="false">
      <c r="A225" s="40" t="s">
        <v>460</v>
      </c>
      <c r="B225" s="40" t="s">
        <v>214</v>
      </c>
      <c r="C225" s="40" t="s">
        <v>461</v>
      </c>
      <c r="D225" s="40" t="s">
        <v>184</v>
      </c>
      <c r="E225" s="40" t="s">
        <v>43</v>
      </c>
      <c r="F225" s="41" t="s">
        <v>269</v>
      </c>
      <c r="G225" s="40" t="s">
        <v>212</v>
      </c>
      <c r="H225" s="40" t="s">
        <v>462</v>
      </c>
      <c r="I225" s="40" t="s">
        <v>270</v>
      </c>
      <c r="J225" s="40" t="s">
        <v>8</v>
      </c>
      <c r="K225" s="40" t="s">
        <v>463</v>
      </c>
      <c r="L225" s="40" t="s">
        <v>191</v>
      </c>
    </row>
    <row r="226" customFormat="false" ht="15.75" hidden="false" customHeight="true" outlineLevel="0" collapsed="false">
      <c r="A226" s="40" t="s">
        <v>460</v>
      </c>
      <c r="B226" s="40" t="s">
        <v>403</v>
      </c>
      <c r="C226" s="40" t="s">
        <v>464</v>
      </c>
      <c r="D226" s="40" t="s">
        <v>184</v>
      </c>
      <c r="E226" s="40" t="s">
        <v>43</v>
      </c>
      <c r="F226" s="41" t="s">
        <v>269</v>
      </c>
      <c r="G226" s="40" t="s">
        <v>212</v>
      </c>
      <c r="H226" s="40" t="s">
        <v>462</v>
      </c>
      <c r="I226" s="40" t="s">
        <v>270</v>
      </c>
      <c r="J226" s="40" t="s">
        <v>8</v>
      </c>
      <c r="K226" s="40" t="s">
        <v>463</v>
      </c>
      <c r="L226" s="40" t="s">
        <v>191</v>
      </c>
    </row>
    <row r="227" customFormat="false" ht="15.75" hidden="false" customHeight="true" outlineLevel="0" collapsed="false">
      <c r="A227" s="40" t="s">
        <v>460</v>
      </c>
      <c r="B227" s="40" t="s">
        <v>473</v>
      </c>
      <c r="C227" s="40" t="s">
        <v>466</v>
      </c>
      <c r="D227" s="40" t="s">
        <v>184</v>
      </c>
      <c r="E227" s="40" t="s">
        <v>43</v>
      </c>
      <c r="F227" s="41" t="s">
        <v>269</v>
      </c>
      <c r="G227" s="40" t="s">
        <v>212</v>
      </c>
      <c r="H227" s="40" t="s">
        <v>462</v>
      </c>
      <c r="I227" s="40" t="s">
        <v>270</v>
      </c>
      <c r="J227" s="40" t="s">
        <v>8</v>
      </c>
      <c r="K227" s="40" t="s">
        <v>463</v>
      </c>
      <c r="L227" s="40" t="s">
        <v>191</v>
      </c>
    </row>
    <row r="228" customFormat="false" ht="15.75" hidden="false" customHeight="true" outlineLevel="0" collapsed="false">
      <c r="A228" s="40" t="s">
        <v>460</v>
      </c>
      <c r="B228" s="40" t="s">
        <v>325</v>
      </c>
      <c r="C228" s="40" t="s">
        <v>467</v>
      </c>
      <c r="D228" s="40" t="s">
        <v>184</v>
      </c>
      <c r="E228" s="40" t="s">
        <v>43</v>
      </c>
      <c r="F228" s="41" t="s">
        <v>269</v>
      </c>
      <c r="G228" s="40" t="s">
        <v>212</v>
      </c>
      <c r="H228" s="40" t="s">
        <v>462</v>
      </c>
      <c r="I228" s="40" t="s">
        <v>270</v>
      </c>
      <c r="J228" s="40" t="s">
        <v>8</v>
      </c>
      <c r="K228" s="40" t="s">
        <v>463</v>
      </c>
      <c r="L228" s="40" t="s">
        <v>191</v>
      </c>
    </row>
    <row r="229" customFormat="false" ht="15.75" hidden="false" customHeight="true" outlineLevel="0" collapsed="false">
      <c r="A229" s="40" t="s">
        <v>460</v>
      </c>
      <c r="B229" s="40" t="s">
        <v>219</v>
      </c>
      <c r="C229" s="40" t="s">
        <v>461</v>
      </c>
      <c r="D229" s="40" t="s">
        <v>184</v>
      </c>
      <c r="E229" s="40" t="s">
        <v>44</v>
      </c>
      <c r="F229" s="41" t="s">
        <v>272</v>
      </c>
      <c r="G229" s="40" t="s">
        <v>217</v>
      </c>
      <c r="H229" s="40" t="s">
        <v>462</v>
      </c>
      <c r="I229" s="40" t="s">
        <v>273</v>
      </c>
      <c r="J229" s="40" t="s">
        <v>8</v>
      </c>
      <c r="K229" s="40" t="s">
        <v>463</v>
      </c>
      <c r="L229" s="40" t="s">
        <v>191</v>
      </c>
    </row>
    <row r="230" customFormat="false" ht="15.75" hidden="false" customHeight="true" outlineLevel="0" collapsed="false">
      <c r="A230" s="40" t="s">
        <v>460</v>
      </c>
      <c r="B230" s="40" t="s">
        <v>405</v>
      </c>
      <c r="C230" s="40" t="s">
        <v>464</v>
      </c>
      <c r="D230" s="40" t="s">
        <v>184</v>
      </c>
      <c r="E230" s="40" t="s">
        <v>44</v>
      </c>
      <c r="F230" s="41" t="s">
        <v>272</v>
      </c>
      <c r="G230" s="40" t="s">
        <v>217</v>
      </c>
      <c r="H230" s="40" t="s">
        <v>462</v>
      </c>
      <c r="I230" s="40" t="s">
        <v>273</v>
      </c>
      <c r="J230" s="40" t="s">
        <v>8</v>
      </c>
      <c r="K230" s="40" t="s">
        <v>463</v>
      </c>
      <c r="L230" s="40" t="s">
        <v>191</v>
      </c>
    </row>
    <row r="231" customFormat="false" ht="15.75" hidden="false" customHeight="true" outlineLevel="0" collapsed="false">
      <c r="A231" s="40" t="s">
        <v>460</v>
      </c>
      <c r="B231" s="40" t="s">
        <v>474</v>
      </c>
      <c r="C231" s="40" t="s">
        <v>466</v>
      </c>
      <c r="D231" s="40" t="s">
        <v>184</v>
      </c>
      <c r="E231" s="40" t="s">
        <v>44</v>
      </c>
      <c r="F231" s="41" t="s">
        <v>272</v>
      </c>
      <c r="G231" s="40" t="s">
        <v>217</v>
      </c>
      <c r="H231" s="40" t="s">
        <v>462</v>
      </c>
      <c r="I231" s="40" t="s">
        <v>273</v>
      </c>
      <c r="J231" s="40" t="s">
        <v>8</v>
      </c>
      <c r="K231" s="40" t="s">
        <v>463</v>
      </c>
      <c r="L231" s="40" t="s">
        <v>191</v>
      </c>
    </row>
    <row r="232" customFormat="false" ht="15.75" hidden="false" customHeight="true" outlineLevel="0" collapsed="false">
      <c r="A232" s="40" t="s">
        <v>460</v>
      </c>
      <c r="B232" s="40" t="s">
        <v>327</v>
      </c>
      <c r="C232" s="40" t="s">
        <v>467</v>
      </c>
      <c r="D232" s="40" t="s">
        <v>184</v>
      </c>
      <c r="E232" s="40" t="s">
        <v>44</v>
      </c>
      <c r="F232" s="41" t="s">
        <v>272</v>
      </c>
      <c r="G232" s="40" t="s">
        <v>217</v>
      </c>
      <c r="H232" s="40" t="s">
        <v>462</v>
      </c>
      <c r="I232" s="40" t="s">
        <v>273</v>
      </c>
      <c r="J232" s="40" t="s">
        <v>8</v>
      </c>
      <c r="K232" s="40" t="s">
        <v>463</v>
      </c>
      <c r="L232" s="40" t="s">
        <v>191</v>
      </c>
    </row>
    <row r="233" customFormat="false" ht="15.75" hidden="false" customHeight="true" outlineLevel="0" collapsed="false">
      <c r="A233" s="40" t="s">
        <v>460</v>
      </c>
      <c r="B233" s="40" t="s">
        <v>224</v>
      </c>
      <c r="C233" s="40" t="s">
        <v>461</v>
      </c>
      <c r="D233" s="40" t="s">
        <v>184</v>
      </c>
      <c r="E233" s="40" t="s">
        <v>45</v>
      </c>
      <c r="F233" s="41" t="s">
        <v>475</v>
      </c>
      <c r="G233" s="40" t="s">
        <v>222</v>
      </c>
      <c r="H233" s="40" t="s">
        <v>462</v>
      </c>
      <c r="I233" s="40" t="s">
        <v>476</v>
      </c>
      <c r="J233" s="40" t="s">
        <v>8</v>
      </c>
      <c r="K233" s="40" t="s">
        <v>477</v>
      </c>
      <c r="L233" s="40" t="s">
        <v>191</v>
      </c>
    </row>
    <row r="234" customFormat="false" ht="15.75" hidden="false" customHeight="true" outlineLevel="0" collapsed="false">
      <c r="A234" s="40" t="s">
        <v>460</v>
      </c>
      <c r="B234" s="40" t="s">
        <v>478</v>
      </c>
      <c r="C234" s="40" t="s">
        <v>464</v>
      </c>
      <c r="D234" s="40" t="s">
        <v>184</v>
      </c>
      <c r="E234" s="40" t="s">
        <v>45</v>
      </c>
      <c r="F234" s="41" t="s">
        <v>475</v>
      </c>
      <c r="G234" s="40" t="s">
        <v>222</v>
      </c>
      <c r="H234" s="40" t="s">
        <v>462</v>
      </c>
      <c r="I234" s="40" t="s">
        <v>476</v>
      </c>
      <c r="J234" s="40" t="s">
        <v>8</v>
      </c>
      <c r="K234" s="40" t="s">
        <v>477</v>
      </c>
      <c r="L234" s="40" t="s">
        <v>191</v>
      </c>
    </row>
    <row r="235" customFormat="false" ht="15.75" hidden="false" customHeight="true" outlineLevel="0" collapsed="false">
      <c r="A235" s="40" t="s">
        <v>460</v>
      </c>
      <c r="B235" s="40" t="s">
        <v>479</v>
      </c>
      <c r="C235" s="40" t="s">
        <v>466</v>
      </c>
      <c r="D235" s="40" t="s">
        <v>184</v>
      </c>
      <c r="E235" s="40" t="s">
        <v>45</v>
      </c>
      <c r="F235" s="41" t="s">
        <v>475</v>
      </c>
      <c r="G235" s="40" t="s">
        <v>222</v>
      </c>
      <c r="H235" s="40" t="s">
        <v>462</v>
      </c>
      <c r="I235" s="40" t="s">
        <v>476</v>
      </c>
      <c r="J235" s="40" t="s">
        <v>8</v>
      </c>
      <c r="K235" s="40" t="s">
        <v>477</v>
      </c>
      <c r="L235" s="40" t="s">
        <v>191</v>
      </c>
    </row>
    <row r="236" customFormat="false" ht="15.75" hidden="false" customHeight="true" outlineLevel="0" collapsed="false">
      <c r="A236" s="40" t="s">
        <v>460</v>
      </c>
      <c r="B236" s="40" t="s">
        <v>329</v>
      </c>
      <c r="C236" s="40" t="s">
        <v>467</v>
      </c>
      <c r="D236" s="40" t="s">
        <v>184</v>
      </c>
      <c r="E236" s="40" t="s">
        <v>45</v>
      </c>
      <c r="F236" s="41" t="s">
        <v>475</v>
      </c>
      <c r="G236" s="40" t="s">
        <v>222</v>
      </c>
      <c r="H236" s="40" t="s">
        <v>462</v>
      </c>
      <c r="I236" s="40" t="s">
        <v>476</v>
      </c>
      <c r="J236" s="40" t="s">
        <v>8</v>
      </c>
      <c r="K236" s="40" t="s">
        <v>477</v>
      </c>
      <c r="L236" s="40" t="s">
        <v>191</v>
      </c>
    </row>
    <row r="237" customFormat="false" ht="30.75" hidden="false" customHeight="true" outlineLevel="0" collapsed="false">
      <c r="A237" s="40" t="s">
        <v>460</v>
      </c>
      <c r="B237" s="40" t="s">
        <v>277</v>
      </c>
      <c r="C237" s="40" t="s">
        <v>461</v>
      </c>
      <c r="D237" s="40" t="s">
        <v>278</v>
      </c>
      <c r="E237" s="40" t="s">
        <v>46</v>
      </c>
      <c r="F237" s="41" t="s">
        <v>480</v>
      </c>
      <c r="G237" s="40" t="s">
        <v>280</v>
      </c>
      <c r="H237" s="40" t="s">
        <v>462</v>
      </c>
      <c r="I237" s="40" t="s">
        <v>481</v>
      </c>
      <c r="J237" s="40" t="s">
        <v>8</v>
      </c>
      <c r="K237" s="40" t="s">
        <v>282</v>
      </c>
      <c r="L237" s="40" t="s">
        <v>191</v>
      </c>
    </row>
    <row r="238" customFormat="false" ht="30.75" hidden="false" customHeight="true" outlineLevel="0" collapsed="false">
      <c r="A238" s="40" t="s">
        <v>460</v>
      </c>
      <c r="B238" s="40" t="s">
        <v>482</v>
      </c>
      <c r="C238" s="40" t="s">
        <v>464</v>
      </c>
      <c r="D238" s="40" t="s">
        <v>278</v>
      </c>
      <c r="E238" s="40" t="s">
        <v>46</v>
      </c>
      <c r="F238" s="41" t="s">
        <v>480</v>
      </c>
      <c r="G238" s="40" t="s">
        <v>280</v>
      </c>
      <c r="H238" s="40" t="s">
        <v>462</v>
      </c>
      <c r="I238" s="40" t="s">
        <v>481</v>
      </c>
      <c r="J238" s="40" t="s">
        <v>8</v>
      </c>
      <c r="K238" s="40" t="s">
        <v>282</v>
      </c>
      <c r="L238" s="40" t="s">
        <v>191</v>
      </c>
    </row>
    <row r="239" customFormat="false" ht="30.75" hidden="false" customHeight="true" outlineLevel="0" collapsed="false">
      <c r="A239" s="40" t="s">
        <v>460</v>
      </c>
      <c r="B239" s="40" t="s">
        <v>483</v>
      </c>
      <c r="C239" s="40" t="s">
        <v>466</v>
      </c>
      <c r="D239" s="40" t="s">
        <v>278</v>
      </c>
      <c r="E239" s="40" t="s">
        <v>46</v>
      </c>
      <c r="F239" s="41" t="s">
        <v>480</v>
      </c>
      <c r="G239" s="40" t="s">
        <v>280</v>
      </c>
      <c r="H239" s="40" t="s">
        <v>462</v>
      </c>
      <c r="I239" s="40" t="s">
        <v>481</v>
      </c>
      <c r="J239" s="40" t="s">
        <v>8</v>
      </c>
      <c r="K239" s="40" t="s">
        <v>282</v>
      </c>
      <c r="L239" s="40" t="s">
        <v>191</v>
      </c>
    </row>
    <row r="240" customFormat="false" ht="30.75" hidden="false" customHeight="true" outlineLevel="0" collapsed="false">
      <c r="A240" s="40" t="s">
        <v>460</v>
      </c>
      <c r="B240" s="40" t="s">
        <v>331</v>
      </c>
      <c r="C240" s="40" t="s">
        <v>467</v>
      </c>
      <c r="D240" s="40" t="s">
        <v>278</v>
      </c>
      <c r="E240" s="40" t="s">
        <v>46</v>
      </c>
      <c r="F240" s="41" t="s">
        <v>480</v>
      </c>
      <c r="G240" s="40" t="s">
        <v>280</v>
      </c>
      <c r="H240" s="40" t="s">
        <v>462</v>
      </c>
      <c r="I240" s="40" t="s">
        <v>481</v>
      </c>
      <c r="J240" s="40" t="s">
        <v>8</v>
      </c>
      <c r="K240" s="40" t="s">
        <v>282</v>
      </c>
      <c r="L240" s="40" t="s">
        <v>191</v>
      </c>
    </row>
    <row r="241" customFormat="false" ht="30.75" hidden="false" customHeight="true" outlineLevel="0" collapsed="false">
      <c r="A241" s="40" t="s">
        <v>460</v>
      </c>
      <c r="B241" s="40" t="s">
        <v>229</v>
      </c>
      <c r="C241" s="40" t="s">
        <v>461</v>
      </c>
      <c r="D241" s="40" t="s">
        <v>278</v>
      </c>
      <c r="E241" s="40" t="s">
        <v>47</v>
      </c>
      <c r="F241" s="41" t="s">
        <v>484</v>
      </c>
      <c r="G241" s="40" t="s">
        <v>285</v>
      </c>
      <c r="H241" s="40" t="s">
        <v>462</v>
      </c>
      <c r="I241" s="40" t="s">
        <v>485</v>
      </c>
      <c r="J241" s="40" t="s">
        <v>8</v>
      </c>
      <c r="K241" s="40" t="s">
        <v>287</v>
      </c>
      <c r="L241" s="40" t="s">
        <v>191</v>
      </c>
    </row>
    <row r="242" customFormat="false" ht="30.75" hidden="false" customHeight="true" outlineLevel="0" collapsed="false">
      <c r="A242" s="40" t="s">
        <v>460</v>
      </c>
      <c r="B242" s="40" t="s">
        <v>486</v>
      </c>
      <c r="C242" s="40" t="s">
        <v>464</v>
      </c>
      <c r="D242" s="40" t="s">
        <v>278</v>
      </c>
      <c r="E242" s="40" t="s">
        <v>47</v>
      </c>
      <c r="F242" s="41" t="s">
        <v>484</v>
      </c>
      <c r="G242" s="40" t="s">
        <v>285</v>
      </c>
      <c r="H242" s="40" t="s">
        <v>462</v>
      </c>
      <c r="I242" s="40" t="s">
        <v>485</v>
      </c>
      <c r="J242" s="40" t="s">
        <v>8</v>
      </c>
      <c r="K242" s="40" t="s">
        <v>287</v>
      </c>
      <c r="L242" s="40" t="s">
        <v>191</v>
      </c>
    </row>
    <row r="243" customFormat="false" ht="30.75" hidden="false" customHeight="true" outlineLevel="0" collapsed="false">
      <c r="A243" s="40" t="s">
        <v>460</v>
      </c>
      <c r="B243" s="40" t="s">
        <v>487</v>
      </c>
      <c r="C243" s="40" t="s">
        <v>466</v>
      </c>
      <c r="D243" s="40" t="s">
        <v>278</v>
      </c>
      <c r="E243" s="40" t="s">
        <v>47</v>
      </c>
      <c r="F243" s="41" t="s">
        <v>484</v>
      </c>
      <c r="G243" s="40" t="s">
        <v>285</v>
      </c>
      <c r="H243" s="40" t="s">
        <v>462</v>
      </c>
      <c r="I243" s="40" t="s">
        <v>485</v>
      </c>
      <c r="J243" s="40" t="s">
        <v>8</v>
      </c>
      <c r="K243" s="40" t="s">
        <v>287</v>
      </c>
      <c r="L243" s="40" t="s">
        <v>191</v>
      </c>
    </row>
    <row r="244" customFormat="false" ht="30.75" hidden="false" customHeight="true" outlineLevel="0" collapsed="false">
      <c r="A244" s="40" t="s">
        <v>460</v>
      </c>
      <c r="B244" s="40" t="s">
        <v>333</v>
      </c>
      <c r="C244" s="40" t="s">
        <v>467</v>
      </c>
      <c r="D244" s="40" t="s">
        <v>278</v>
      </c>
      <c r="E244" s="40" t="s">
        <v>47</v>
      </c>
      <c r="F244" s="41" t="s">
        <v>484</v>
      </c>
      <c r="G244" s="40" t="s">
        <v>285</v>
      </c>
      <c r="H244" s="40" t="s">
        <v>462</v>
      </c>
      <c r="I244" s="40" t="s">
        <v>485</v>
      </c>
      <c r="J244" s="40" t="s">
        <v>8</v>
      </c>
      <c r="K244" s="40" t="s">
        <v>287</v>
      </c>
      <c r="L244" s="40" t="s">
        <v>191</v>
      </c>
    </row>
    <row r="245" customFormat="false" ht="30.75" hidden="false" customHeight="true" outlineLevel="0" collapsed="false">
      <c r="A245" s="40" t="s">
        <v>460</v>
      </c>
      <c r="B245" s="40" t="s">
        <v>289</v>
      </c>
      <c r="C245" s="40" t="s">
        <v>461</v>
      </c>
      <c r="D245" s="40" t="s">
        <v>278</v>
      </c>
      <c r="E245" s="40" t="s">
        <v>48</v>
      </c>
      <c r="F245" s="41" t="s">
        <v>488</v>
      </c>
      <c r="G245" s="40" t="s">
        <v>291</v>
      </c>
      <c r="H245" s="40" t="s">
        <v>462</v>
      </c>
      <c r="I245" s="40" t="s">
        <v>489</v>
      </c>
      <c r="J245" s="40" t="s">
        <v>8</v>
      </c>
      <c r="K245" s="40" t="s">
        <v>490</v>
      </c>
      <c r="L245" s="40" t="s">
        <v>191</v>
      </c>
    </row>
    <row r="246" customFormat="false" ht="30.75" hidden="false" customHeight="true" outlineLevel="0" collapsed="false">
      <c r="A246" s="40" t="s">
        <v>460</v>
      </c>
      <c r="B246" s="40" t="s">
        <v>491</v>
      </c>
      <c r="C246" s="40" t="s">
        <v>464</v>
      </c>
      <c r="D246" s="40" t="s">
        <v>278</v>
      </c>
      <c r="E246" s="40" t="s">
        <v>48</v>
      </c>
      <c r="F246" s="41" t="s">
        <v>488</v>
      </c>
      <c r="G246" s="40" t="s">
        <v>291</v>
      </c>
      <c r="H246" s="40" t="s">
        <v>462</v>
      </c>
      <c r="I246" s="40" t="s">
        <v>489</v>
      </c>
      <c r="J246" s="40" t="s">
        <v>8</v>
      </c>
      <c r="K246" s="40" t="s">
        <v>490</v>
      </c>
      <c r="L246" s="40" t="s">
        <v>191</v>
      </c>
    </row>
    <row r="247" customFormat="false" ht="30.75" hidden="false" customHeight="true" outlineLevel="0" collapsed="false">
      <c r="A247" s="40" t="s">
        <v>460</v>
      </c>
      <c r="B247" s="40" t="s">
        <v>492</v>
      </c>
      <c r="C247" s="40" t="s">
        <v>466</v>
      </c>
      <c r="D247" s="40" t="s">
        <v>278</v>
      </c>
      <c r="E247" s="40" t="s">
        <v>48</v>
      </c>
      <c r="F247" s="41" t="s">
        <v>488</v>
      </c>
      <c r="G247" s="40" t="s">
        <v>291</v>
      </c>
      <c r="H247" s="40" t="s">
        <v>462</v>
      </c>
      <c r="I247" s="40" t="s">
        <v>489</v>
      </c>
      <c r="J247" s="40" t="s">
        <v>8</v>
      </c>
      <c r="K247" s="40" t="s">
        <v>490</v>
      </c>
      <c r="L247" s="40" t="s">
        <v>191</v>
      </c>
    </row>
    <row r="248" customFormat="false" ht="30.75" hidden="false" customHeight="true" outlineLevel="0" collapsed="false">
      <c r="A248" s="40" t="s">
        <v>460</v>
      </c>
      <c r="B248" s="40" t="s">
        <v>335</v>
      </c>
      <c r="C248" s="40" t="s">
        <v>467</v>
      </c>
      <c r="D248" s="40" t="s">
        <v>278</v>
      </c>
      <c r="E248" s="40" t="s">
        <v>48</v>
      </c>
      <c r="F248" s="41" t="s">
        <v>488</v>
      </c>
      <c r="G248" s="40" t="s">
        <v>291</v>
      </c>
      <c r="H248" s="40" t="s">
        <v>462</v>
      </c>
      <c r="I248" s="40" t="s">
        <v>489</v>
      </c>
      <c r="J248" s="40" t="s">
        <v>8</v>
      </c>
      <c r="K248" s="40" t="s">
        <v>490</v>
      </c>
      <c r="L248" s="40" t="s">
        <v>191</v>
      </c>
    </row>
    <row r="249" customFormat="false" ht="15.75" hidden="false" customHeight="true" outlineLevel="0" collapsed="false">
      <c r="A249" s="40" t="s">
        <v>460</v>
      </c>
      <c r="B249" s="40" t="s">
        <v>233</v>
      </c>
      <c r="C249" s="40" t="s">
        <v>461</v>
      </c>
      <c r="D249" s="40" t="s">
        <v>184</v>
      </c>
      <c r="E249" s="40" t="s">
        <v>49</v>
      </c>
      <c r="F249" s="41" t="s">
        <v>493</v>
      </c>
      <c r="G249" s="40" t="s">
        <v>212</v>
      </c>
      <c r="H249" s="40" t="s">
        <v>462</v>
      </c>
      <c r="I249" s="40" t="s">
        <v>494</v>
      </c>
      <c r="J249" s="40" t="s">
        <v>8</v>
      </c>
      <c r="K249" s="40" t="s">
        <v>477</v>
      </c>
      <c r="L249" s="40" t="s">
        <v>191</v>
      </c>
    </row>
    <row r="250" customFormat="false" ht="15.75" hidden="false" customHeight="true" outlineLevel="0" collapsed="false">
      <c r="A250" s="40" t="s">
        <v>460</v>
      </c>
      <c r="B250" s="40" t="s">
        <v>495</v>
      </c>
      <c r="C250" s="40" t="s">
        <v>464</v>
      </c>
      <c r="D250" s="40" t="s">
        <v>184</v>
      </c>
      <c r="E250" s="40" t="s">
        <v>49</v>
      </c>
      <c r="F250" s="41" t="s">
        <v>493</v>
      </c>
      <c r="G250" s="40" t="s">
        <v>212</v>
      </c>
      <c r="H250" s="40" t="s">
        <v>462</v>
      </c>
      <c r="I250" s="40" t="s">
        <v>494</v>
      </c>
      <c r="J250" s="40" t="s">
        <v>8</v>
      </c>
      <c r="K250" s="40" t="s">
        <v>477</v>
      </c>
      <c r="L250" s="40" t="s">
        <v>191</v>
      </c>
    </row>
    <row r="251" customFormat="false" ht="15.75" hidden="false" customHeight="true" outlineLevel="0" collapsed="false">
      <c r="A251" s="40" t="s">
        <v>460</v>
      </c>
      <c r="B251" s="40" t="s">
        <v>496</v>
      </c>
      <c r="C251" s="40" t="s">
        <v>466</v>
      </c>
      <c r="D251" s="40" t="s">
        <v>184</v>
      </c>
      <c r="E251" s="40" t="s">
        <v>49</v>
      </c>
      <c r="F251" s="41" t="s">
        <v>493</v>
      </c>
      <c r="G251" s="40" t="s">
        <v>212</v>
      </c>
      <c r="H251" s="40" t="s">
        <v>462</v>
      </c>
      <c r="I251" s="40" t="s">
        <v>494</v>
      </c>
      <c r="J251" s="40" t="s">
        <v>8</v>
      </c>
      <c r="K251" s="40" t="s">
        <v>477</v>
      </c>
      <c r="L251" s="40" t="s">
        <v>191</v>
      </c>
    </row>
    <row r="252" customFormat="false" ht="15.75" hidden="false" customHeight="true" outlineLevel="0" collapsed="false">
      <c r="A252" s="40" t="s">
        <v>460</v>
      </c>
      <c r="B252" s="40" t="s">
        <v>337</v>
      </c>
      <c r="C252" s="40" t="s">
        <v>467</v>
      </c>
      <c r="D252" s="40" t="s">
        <v>184</v>
      </c>
      <c r="E252" s="40" t="s">
        <v>49</v>
      </c>
      <c r="F252" s="41" t="s">
        <v>493</v>
      </c>
      <c r="G252" s="40" t="s">
        <v>212</v>
      </c>
      <c r="H252" s="40" t="s">
        <v>462</v>
      </c>
      <c r="I252" s="40" t="s">
        <v>494</v>
      </c>
      <c r="J252" s="40" t="s">
        <v>8</v>
      </c>
      <c r="K252" s="40" t="s">
        <v>477</v>
      </c>
      <c r="L252" s="40" t="s">
        <v>191</v>
      </c>
    </row>
    <row r="253" customFormat="false" ht="30.75" hidden="false" customHeight="true" outlineLevel="0" collapsed="false">
      <c r="A253" s="40" t="s">
        <v>460</v>
      </c>
      <c r="B253" s="40" t="s">
        <v>296</v>
      </c>
      <c r="C253" s="40" t="s">
        <v>461</v>
      </c>
      <c r="D253" s="40" t="s">
        <v>278</v>
      </c>
      <c r="E253" s="40" t="s">
        <v>50</v>
      </c>
      <c r="F253" s="41" t="s">
        <v>497</v>
      </c>
      <c r="G253" s="40" t="s">
        <v>298</v>
      </c>
      <c r="H253" s="40" t="s">
        <v>462</v>
      </c>
      <c r="I253" s="40" t="s">
        <v>498</v>
      </c>
      <c r="J253" s="40" t="s">
        <v>8</v>
      </c>
      <c r="K253" s="40" t="s">
        <v>282</v>
      </c>
      <c r="L253" s="40" t="s">
        <v>191</v>
      </c>
    </row>
    <row r="254" customFormat="false" ht="30.75" hidden="false" customHeight="true" outlineLevel="0" collapsed="false">
      <c r="A254" s="40" t="s">
        <v>460</v>
      </c>
      <c r="B254" s="40" t="s">
        <v>499</v>
      </c>
      <c r="C254" s="40" t="s">
        <v>464</v>
      </c>
      <c r="D254" s="40" t="s">
        <v>278</v>
      </c>
      <c r="E254" s="40" t="s">
        <v>50</v>
      </c>
      <c r="F254" s="41" t="s">
        <v>497</v>
      </c>
      <c r="G254" s="40" t="s">
        <v>298</v>
      </c>
      <c r="H254" s="40" t="s">
        <v>462</v>
      </c>
      <c r="I254" s="40" t="s">
        <v>498</v>
      </c>
      <c r="J254" s="40" t="s">
        <v>8</v>
      </c>
      <c r="K254" s="40" t="s">
        <v>282</v>
      </c>
      <c r="L254" s="40" t="s">
        <v>191</v>
      </c>
    </row>
    <row r="255" customFormat="false" ht="30.75" hidden="false" customHeight="true" outlineLevel="0" collapsed="false">
      <c r="A255" s="40" t="s">
        <v>460</v>
      </c>
      <c r="B255" s="40" t="s">
        <v>500</v>
      </c>
      <c r="C255" s="40" t="s">
        <v>466</v>
      </c>
      <c r="D255" s="40" t="s">
        <v>278</v>
      </c>
      <c r="E255" s="40" t="s">
        <v>50</v>
      </c>
      <c r="F255" s="41" t="s">
        <v>497</v>
      </c>
      <c r="G255" s="40" t="s">
        <v>298</v>
      </c>
      <c r="H255" s="40" t="s">
        <v>462</v>
      </c>
      <c r="I255" s="40" t="s">
        <v>498</v>
      </c>
      <c r="J255" s="40" t="s">
        <v>8</v>
      </c>
      <c r="K255" s="40" t="s">
        <v>282</v>
      </c>
      <c r="L255" s="40" t="s">
        <v>191</v>
      </c>
    </row>
    <row r="256" customFormat="false" ht="30.75" hidden="false" customHeight="true" outlineLevel="0" collapsed="false">
      <c r="A256" s="40" t="s">
        <v>460</v>
      </c>
      <c r="B256" s="40" t="s">
        <v>339</v>
      </c>
      <c r="C256" s="40" t="s">
        <v>467</v>
      </c>
      <c r="D256" s="40" t="s">
        <v>278</v>
      </c>
      <c r="E256" s="40" t="s">
        <v>50</v>
      </c>
      <c r="F256" s="41" t="s">
        <v>497</v>
      </c>
      <c r="G256" s="40" t="s">
        <v>298</v>
      </c>
      <c r="H256" s="40" t="s">
        <v>462</v>
      </c>
      <c r="I256" s="40" t="s">
        <v>498</v>
      </c>
      <c r="J256" s="40" t="s">
        <v>8</v>
      </c>
      <c r="K256" s="40" t="s">
        <v>282</v>
      </c>
      <c r="L256" s="40" t="s">
        <v>191</v>
      </c>
    </row>
    <row r="257" customFormat="false" ht="30.75" hidden="false" customHeight="true" outlineLevel="0" collapsed="false">
      <c r="A257" s="40" t="s">
        <v>460</v>
      </c>
      <c r="B257" s="40" t="s">
        <v>238</v>
      </c>
      <c r="C257" s="40" t="s">
        <v>461</v>
      </c>
      <c r="D257" s="40" t="s">
        <v>278</v>
      </c>
      <c r="E257" s="40" t="s">
        <v>51</v>
      </c>
      <c r="F257" s="41" t="s">
        <v>501</v>
      </c>
      <c r="G257" s="40" t="s">
        <v>302</v>
      </c>
      <c r="H257" s="40" t="s">
        <v>462</v>
      </c>
      <c r="I257" s="40" t="s">
        <v>502</v>
      </c>
      <c r="J257" s="40" t="s">
        <v>8</v>
      </c>
      <c r="K257" s="40" t="s">
        <v>287</v>
      </c>
      <c r="L257" s="40" t="s">
        <v>191</v>
      </c>
    </row>
    <row r="258" customFormat="false" ht="30.75" hidden="false" customHeight="true" outlineLevel="0" collapsed="false">
      <c r="A258" s="40" t="s">
        <v>460</v>
      </c>
      <c r="B258" s="40" t="s">
        <v>503</v>
      </c>
      <c r="C258" s="40" t="s">
        <v>464</v>
      </c>
      <c r="D258" s="40" t="s">
        <v>278</v>
      </c>
      <c r="E258" s="40" t="s">
        <v>51</v>
      </c>
      <c r="F258" s="41" t="s">
        <v>501</v>
      </c>
      <c r="G258" s="40" t="s">
        <v>302</v>
      </c>
      <c r="H258" s="40" t="s">
        <v>462</v>
      </c>
      <c r="I258" s="40" t="s">
        <v>502</v>
      </c>
      <c r="J258" s="40" t="s">
        <v>8</v>
      </c>
      <c r="K258" s="40" t="s">
        <v>287</v>
      </c>
      <c r="L258" s="40" t="s">
        <v>191</v>
      </c>
    </row>
    <row r="259" customFormat="false" ht="30.75" hidden="false" customHeight="true" outlineLevel="0" collapsed="false">
      <c r="A259" s="40" t="s">
        <v>460</v>
      </c>
      <c r="B259" s="40" t="s">
        <v>504</v>
      </c>
      <c r="C259" s="40" t="s">
        <v>466</v>
      </c>
      <c r="D259" s="40" t="s">
        <v>278</v>
      </c>
      <c r="E259" s="40" t="s">
        <v>51</v>
      </c>
      <c r="F259" s="41" t="s">
        <v>501</v>
      </c>
      <c r="G259" s="40" t="s">
        <v>302</v>
      </c>
      <c r="H259" s="40" t="s">
        <v>462</v>
      </c>
      <c r="I259" s="40" t="s">
        <v>502</v>
      </c>
      <c r="J259" s="40" t="s">
        <v>8</v>
      </c>
      <c r="K259" s="40" t="s">
        <v>287</v>
      </c>
      <c r="L259" s="40" t="s">
        <v>191</v>
      </c>
    </row>
    <row r="260" customFormat="false" ht="30.75" hidden="false" customHeight="true" outlineLevel="0" collapsed="false">
      <c r="A260" s="40" t="s">
        <v>460</v>
      </c>
      <c r="B260" s="40" t="s">
        <v>341</v>
      </c>
      <c r="C260" s="40" t="s">
        <v>467</v>
      </c>
      <c r="D260" s="40" t="s">
        <v>278</v>
      </c>
      <c r="E260" s="40" t="s">
        <v>51</v>
      </c>
      <c r="F260" s="41" t="s">
        <v>501</v>
      </c>
      <c r="G260" s="40" t="s">
        <v>302</v>
      </c>
      <c r="H260" s="40" t="s">
        <v>462</v>
      </c>
      <c r="I260" s="40" t="s">
        <v>502</v>
      </c>
      <c r="J260" s="40" t="s">
        <v>8</v>
      </c>
      <c r="K260" s="40" t="s">
        <v>287</v>
      </c>
      <c r="L260" s="40" t="s">
        <v>191</v>
      </c>
    </row>
    <row r="261" customFormat="false" ht="30.75" hidden="false" customHeight="true" outlineLevel="0" collapsed="false">
      <c r="A261" s="40" t="s">
        <v>460</v>
      </c>
      <c r="B261" s="40" t="s">
        <v>305</v>
      </c>
      <c r="C261" s="40" t="s">
        <v>461</v>
      </c>
      <c r="D261" s="40" t="s">
        <v>278</v>
      </c>
      <c r="E261" s="40" t="s">
        <v>52</v>
      </c>
      <c r="F261" s="41" t="s">
        <v>505</v>
      </c>
      <c r="G261" s="40" t="s">
        <v>307</v>
      </c>
      <c r="H261" s="40" t="s">
        <v>462</v>
      </c>
      <c r="I261" s="40" t="s">
        <v>506</v>
      </c>
      <c r="J261" s="40" t="s">
        <v>8</v>
      </c>
      <c r="K261" s="40" t="s">
        <v>490</v>
      </c>
      <c r="L261" s="40" t="s">
        <v>191</v>
      </c>
    </row>
    <row r="262" customFormat="false" ht="30.75" hidden="false" customHeight="true" outlineLevel="0" collapsed="false">
      <c r="A262" s="40" t="s">
        <v>460</v>
      </c>
      <c r="B262" s="40" t="s">
        <v>507</v>
      </c>
      <c r="C262" s="40" t="s">
        <v>464</v>
      </c>
      <c r="D262" s="40" t="s">
        <v>278</v>
      </c>
      <c r="E262" s="40" t="s">
        <v>52</v>
      </c>
      <c r="F262" s="41" t="s">
        <v>505</v>
      </c>
      <c r="G262" s="40" t="s">
        <v>307</v>
      </c>
      <c r="H262" s="40" t="s">
        <v>462</v>
      </c>
      <c r="I262" s="40" t="s">
        <v>506</v>
      </c>
      <c r="J262" s="40" t="s">
        <v>8</v>
      </c>
      <c r="K262" s="40" t="s">
        <v>490</v>
      </c>
      <c r="L262" s="40" t="s">
        <v>191</v>
      </c>
    </row>
    <row r="263" customFormat="false" ht="30.75" hidden="false" customHeight="true" outlineLevel="0" collapsed="false">
      <c r="A263" s="40" t="s">
        <v>460</v>
      </c>
      <c r="B263" s="40" t="s">
        <v>508</v>
      </c>
      <c r="C263" s="40" t="s">
        <v>466</v>
      </c>
      <c r="D263" s="40" t="s">
        <v>278</v>
      </c>
      <c r="E263" s="40" t="s">
        <v>52</v>
      </c>
      <c r="F263" s="41" t="s">
        <v>505</v>
      </c>
      <c r="G263" s="40" t="s">
        <v>307</v>
      </c>
      <c r="H263" s="40" t="s">
        <v>462</v>
      </c>
      <c r="I263" s="40" t="s">
        <v>506</v>
      </c>
      <c r="J263" s="40" t="s">
        <v>8</v>
      </c>
      <c r="K263" s="40" t="s">
        <v>490</v>
      </c>
      <c r="L263" s="40" t="s">
        <v>191</v>
      </c>
    </row>
    <row r="264" customFormat="false" ht="30.75" hidden="false" customHeight="true" outlineLevel="0" collapsed="false">
      <c r="A264" s="40" t="s">
        <v>460</v>
      </c>
      <c r="B264" s="40" t="s">
        <v>343</v>
      </c>
      <c r="C264" s="40" t="s">
        <v>467</v>
      </c>
      <c r="D264" s="40" t="s">
        <v>278</v>
      </c>
      <c r="E264" s="40" t="s">
        <v>52</v>
      </c>
      <c r="F264" s="41" t="s">
        <v>505</v>
      </c>
      <c r="G264" s="40" t="s">
        <v>307</v>
      </c>
      <c r="H264" s="40" t="s">
        <v>462</v>
      </c>
      <c r="I264" s="40" t="s">
        <v>506</v>
      </c>
      <c r="J264" s="40" t="s">
        <v>8</v>
      </c>
      <c r="K264" s="40" t="s">
        <v>490</v>
      </c>
      <c r="L264" s="40" t="s">
        <v>191</v>
      </c>
    </row>
    <row r="265" customFormat="false" ht="15.75" hidden="false" customHeight="true" outlineLevel="0" collapsed="false">
      <c r="A265" s="40" t="s">
        <v>460</v>
      </c>
      <c r="B265" s="40" t="s">
        <v>242</v>
      </c>
      <c r="C265" s="40" t="s">
        <v>461</v>
      </c>
      <c r="D265" s="40" t="s">
        <v>184</v>
      </c>
      <c r="E265" s="40" t="s">
        <v>53</v>
      </c>
      <c r="F265" s="41" t="s">
        <v>509</v>
      </c>
      <c r="G265" s="40" t="s">
        <v>217</v>
      </c>
      <c r="H265" s="40" t="s">
        <v>462</v>
      </c>
      <c r="I265" s="40" t="s">
        <v>510</v>
      </c>
      <c r="J265" s="40" t="s">
        <v>8</v>
      </c>
      <c r="K265" s="40" t="s">
        <v>477</v>
      </c>
      <c r="L265" s="40" t="s">
        <v>191</v>
      </c>
    </row>
    <row r="266" customFormat="false" ht="15.75" hidden="false" customHeight="true" outlineLevel="0" collapsed="false">
      <c r="A266" s="40" t="s">
        <v>460</v>
      </c>
      <c r="B266" s="40" t="s">
        <v>511</v>
      </c>
      <c r="C266" s="40" t="s">
        <v>464</v>
      </c>
      <c r="D266" s="40" t="s">
        <v>184</v>
      </c>
      <c r="E266" s="40" t="s">
        <v>53</v>
      </c>
      <c r="F266" s="41" t="s">
        <v>509</v>
      </c>
      <c r="G266" s="40" t="s">
        <v>217</v>
      </c>
      <c r="H266" s="40" t="s">
        <v>462</v>
      </c>
      <c r="I266" s="40" t="s">
        <v>510</v>
      </c>
      <c r="J266" s="40" t="s">
        <v>8</v>
      </c>
      <c r="K266" s="40" t="s">
        <v>477</v>
      </c>
      <c r="L266" s="40" t="s">
        <v>191</v>
      </c>
    </row>
    <row r="267" customFormat="false" ht="15.75" hidden="false" customHeight="true" outlineLevel="0" collapsed="false">
      <c r="A267" s="40" t="s">
        <v>460</v>
      </c>
      <c r="B267" s="40" t="s">
        <v>512</v>
      </c>
      <c r="C267" s="40" t="s">
        <v>466</v>
      </c>
      <c r="D267" s="40" t="s">
        <v>184</v>
      </c>
      <c r="E267" s="40" t="s">
        <v>53</v>
      </c>
      <c r="F267" s="41" t="s">
        <v>509</v>
      </c>
      <c r="G267" s="40" t="s">
        <v>217</v>
      </c>
      <c r="H267" s="40" t="s">
        <v>462</v>
      </c>
      <c r="I267" s="40" t="s">
        <v>510</v>
      </c>
      <c r="J267" s="40" t="s">
        <v>8</v>
      </c>
      <c r="K267" s="40" t="s">
        <v>477</v>
      </c>
      <c r="L267" s="40" t="s">
        <v>191</v>
      </c>
    </row>
    <row r="268" customFormat="false" ht="15.75" hidden="false" customHeight="true" outlineLevel="0" collapsed="false">
      <c r="A268" s="40" t="s">
        <v>460</v>
      </c>
      <c r="B268" s="40" t="s">
        <v>345</v>
      </c>
      <c r="C268" s="40" t="s">
        <v>467</v>
      </c>
      <c r="D268" s="40" t="s">
        <v>184</v>
      </c>
      <c r="E268" s="40" t="s">
        <v>53</v>
      </c>
      <c r="F268" s="41" t="s">
        <v>509</v>
      </c>
      <c r="G268" s="40" t="s">
        <v>217</v>
      </c>
      <c r="H268" s="40" t="s">
        <v>462</v>
      </c>
      <c r="I268" s="40" t="s">
        <v>510</v>
      </c>
      <c r="J268" s="40" t="s">
        <v>8</v>
      </c>
      <c r="K268" s="40" t="s">
        <v>477</v>
      </c>
      <c r="L268" s="40" t="s">
        <v>191</v>
      </c>
    </row>
    <row r="269" customFormat="false" ht="26.25" hidden="false" customHeight="true" outlineLevel="0" collapsed="false">
      <c r="A269" s="40" t="s">
        <v>133</v>
      </c>
      <c r="B269" s="40" t="s">
        <v>513</v>
      </c>
      <c r="C269" s="40" t="s">
        <v>514</v>
      </c>
      <c r="D269" s="40" t="s">
        <v>184</v>
      </c>
      <c r="E269" s="40" t="s">
        <v>37</v>
      </c>
      <c r="F269" s="40" t="s">
        <v>245</v>
      </c>
      <c r="G269" s="40" t="s">
        <v>246</v>
      </c>
      <c r="H269" s="40" t="s">
        <v>515</v>
      </c>
      <c r="I269" s="40" t="s">
        <v>248</v>
      </c>
      <c r="J269" s="40" t="s">
        <v>8</v>
      </c>
      <c r="K269" s="40" t="s">
        <v>516</v>
      </c>
      <c r="L269" s="40" t="s">
        <v>191</v>
      </c>
    </row>
    <row r="270" customFormat="false" ht="26.25" hidden="false" customHeight="true" outlineLevel="0" collapsed="false">
      <c r="A270" s="40" t="s">
        <v>133</v>
      </c>
      <c r="B270" s="40" t="s">
        <v>243</v>
      </c>
      <c r="C270" s="40" t="s">
        <v>517</v>
      </c>
      <c r="D270" s="40" t="s">
        <v>184</v>
      </c>
      <c r="E270" s="40" t="s">
        <v>37</v>
      </c>
      <c r="F270" s="40" t="s">
        <v>245</v>
      </c>
      <c r="G270" s="40" t="s">
        <v>246</v>
      </c>
      <c r="H270" s="40" t="s">
        <v>515</v>
      </c>
      <c r="I270" s="40" t="s">
        <v>248</v>
      </c>
      <c r="J270" s="40" t="s">
        <v>8</v>
      </c>
      <c r="K270" s="40" t="s">
        <v>516</v>
      </c>
      <c r="L270" s="40" t="s">
        <v>191</v>
      </c>
    </row>
    <row r="271" customFormat="false" ht="26.25" hidden="false" customHeight="true" outlineLevel="0" collapsed="false">
      <c r="A271" s="40" t="s">
        <v>133</v>
      </c>
      <c r="B271" s="40" t="s">
        <v>518</v>
      </c>
      <c r="C271" s="40" t="s">
        <v>514</v>
      </c>
      <c r="D271" s="40" t="s">
        <v>184</v>
      </c>
      <c r="E271" s="40" t="s">
        <v>38</v>
      </c>
      <c r="F271" s="40" t="s">
        <v>254</v>
      </c>
      <c r="G271" s="40" t="s">
        <v>186</v>
      </c>
      <c r="H271" s="40" t="s">
        <v>515</v>
      </c>
      <c r="I271" s="40" t="s">
        <v>255</v>
      </c>
      <c r="J271" s="40" t="s">
        <v>8</v>
      </c>
      <c r="K271" s="40" t="s">
        <v>516</v>
      </c>
      <c r="L271" s="40" t="s">
        <v>191</v>
      </c>
    </row>
    <row r="272" customFormat="false" ht="26.25" hidden="false" customHeight="true" outlineLevel="0" collapsed="false">
      <c r="A272" s="40" t="s">
        <v>133</v>
      </c>
      <c r="B272" s="40" t="s">
        <v>182</v>
      </c>
      <c r="C272" s="40" t="s">
        <v>517</v>
      </c>
      <c r="D272" s="40" t="s">
        <v>184</v>
      </c>
      <c r="E272" s="40" t="s">
        <v>38</v>
      </c>
      <c r="F272" s="40" t="s">
        <v>254</v>
      </c>
      <c r="G272" s="40" t="s">
        <v>186</v>
      </c>
      <c r="H272" s="40" t="s">
        <v>515</v>
      </c>
      <c r="I272" s="40" t="s">
        <v>255</v>
      </c>
      <c r="J272" s="40" t="s">
        <v>8</v>
      </c>
      <c r="K272" s="40" t="s">
        <v>516</v>
      </c>
      <c r="L272" s="40" t="s">
        <v>191</v>
      </c>
    </row>
    <row r="273" customFormat="false" ht="26.25" hidden="false" customHeight="true" outlineLevel="0" collapsed="false">
      <c r="A273" s="40" t="s">
        <v>133</v>
      </c>
      <c r="B273" s="40" t="s">
        <v>519</v>
      </c>
      <c r="C273" s="40" t="s">
        <v>514</v>
      </c>
      <c r="D273" s="40" t="s">
        <v>184</v>
      </c>
      <c r="E273" s="40" t="s">
        <v>39</v>
      </c>
      <c r="F273" s="41" t="s">
        <v>257</v>
      </c>
      <c r="G273" s="40" t="s">
        <v>194</v>
      </c>
      <c r="H273" s="40" t="s">
        <v>515</v>
      </c>
      <c r="I273" s="40" t="s">
        <v>258</v>
      </c>
      <c r="J273" s="40" t="s">
        <v>8</v>
      </c>
      <c r="K273" s="40" t="s">
        <v>516</v>
      </c>
      <c r="L273" s="40" t="s">
        <v>191</v>
      </c>
    </row>
    <row r="274" customFormat="false" ht="26.25" hidden="false" customHeight="true" outlineLevel="0" collapsed="false">
      <c r="A274" s="40" t="s">
        <v>133</v>
      </c>
      <c r="B274" s="40" t="s">
        <v>192</v>
      </c>
      <c r="C274" s="40" t="s">
        <v>517</v>
      </c>
      <c r="D274" s="40" t="s">
        <v>184</v>
      </c>
      <c r="E274" s="40" t="s">
        <v>39</v>
      </c>
      <c r="F274" s="41" t="s">
        <v>257</v>
      </c>
      <c r="G274" s="40" t="s">
        <v>194</v>
      </c>
      <c r="H274" s="40" t="s">
        <v>515</v>
      </c>
      <c r="I274" s="40" t="s">
        <v>258</v>
      </c>
      <c r="J274" s="40" t="s">
        <v>8</v>
      </c>
      <c r="K274" s="40" t="s">
        <v>516</v>
      </c>
      <c r="L274" s="40" t="s">
        <v>191</v>
      </c>
    </row>
    <row r="275" customFormat="false" ht="26.25" hidden="false" customHeight="true" outlineLevel="0" collapsed="false">
      <c r="A275" s="40" t="s">
        <v>133</v>
      </c>
      <c r="B275" s="40" t="s">
        <v>520</v>
      </c>
      <c r="C275" s="40" t="s">
        <v>514</v>
      </c>
      <c r="D275" s="40" t="s">
        <v>184</v>
      </c>
      <c r="E275" s="40" t="s">
        <v>40</v>
      </c>
      <c r="F275" s="41" t="s">
        <v>260</v>
      </c>
      <c r="G275" s="40" t="s">
        <v>198</v>
      </c>
      <c r="H275" s="40" t="s">
        <v>515</v>
      </c>
      <c r="I275" s="40" t="s">
        <v>261</v>
      </c>
      <c r="J275" s="40" t="s">
        <v>8</v>
      </c>
      <c r="K275" s="40" t="s">
        <v>516</v>
      </c>
      <c r="L275" s="40" t="s">
        <v>191</v>
      </c>
    </row>
    <row r="276" customFormat="false" ht="26.25" hidden="false" customHeight="true" outlineLevel="0" collapsed="false">
      <c r="A276" s="40" t="s">
        <v>133</v>
      </c>
      <c r="B276" s="40" t="s">
        <v>196</v>
      </c>
      <c r="C276" s="40" t="s">
        <v>517</v>
      </c>
      <c r="D276" s="40" t="s">
        <v>184</v>
      </c>
      <c r="E276" s="40" t="s">
        <v>40</v>
      </c>
      <c r="F276" s="41" t="s">
        <v>260</v>
      </c>
      <c r="G276" s="40" t="s">
        <v>198</v>
      </c>
      <c r="H276" s="40" t="s">
        <v>515</v>
      </c>
      <c r="I276" s="40" t="s">
        <v>261</v>
      </c>
      <c r="J276" s="40" t="s">
        <v>8</v>
      </c>
      <c r="K276" s="40" t="s">
        <v>516</v>
      </c>
      <c r="L276" s="40" t="s">
        <v>191</v>
      </c>
    </row>
    <row r="277" customFormat="false" ht="26.25" hidden="false" customHeight="true" outlineLevel="0" collapsed="false">
      <c r="A277" s="40" t="s">
        <v>133</v>
      </c>
      <c r="B277" s="40" t="s">
        <v>521</v>
      </c>
      <c r="C277" s="40" t="s">
        <v>514</v>
      </c>
      <c r="D277" s="40" t="s">
        <v>184</v>
      </c>
      <c r="E277" s="40" t="s">
        <v>41</v>
      </c>
      <c r="F277" s="41" t="s">
        <v>263</v>
      </c>
      <c r="G277" s="40" t="s">
        <v>202</v>
      </c>
      <c r="H277" s="40" t="s">
        <v>515</v>
      </c>
      <c r="I277" s="40" t="s">
        <v>264</v>
      </c>
      <c r="J277" s="40" t="s">
        <v>8</v>
      </c>
      <c r="K277" s="40" t="s">
        <v>516</v>
      </c>
      <c r="L277" s="40" t="s">
        <v>191</v>
      </c>
    </row>
    <row r="278" customFormat="false" ht="26.25" hidden="false" customHeight="true" outlineLevel="0" collapsed="false">
      <c r="A278" s="40" t="s">
        <v>133</v>
      </c>
      <c r="B278" s="40" t="s">
        <v>200</v>
      </c>
      <c r="C278" s="40" t="s">
        <v>517</v>
      </c>
      <c r="D278" s="40" t="s">
        <v>184</v>
      </c>
      <c r="E278" s="40" t="s">
        <v>41</v>
      </c>
      <c r="F278" s="41" t="s">
        <v>263</v>
      </c>
      <c r="G278" s="40" t="s">
        <v>202</v>
      </c>
      <c r="H278" s="40" t="s">
        <v>515</v>
      </c>
      <c r="I278" s="40" t="s">
        <v>264</v>
      </c>
      <c r="J278" s="40" t="s">
        <v>8</v>
      </c>
      <c r="K278" s="40" t="s">
        <v>516</v>
      </c>
      <c r="L278" s="40" t="s">
        <v>191</v>
      </c>
    </row>
    <row r="279" customFormat="false" ht="26.25" hidden="false" customHeight="true" outlineLevel="0" collapsed="false">
      <c r="A279" s="40" t="s">
        <v>133</v>
      </c>
      <c r="B279" s="40" t="s">
        <v>204</v>
      </c>
      <c r="C279" s="40" t="s">
        <v>514</v>
      </c>
      <c r="D279" s="40" t="s">
        <v>184</v>
      </c>
      <c r="E279" s="40" t="s">
        <v>42</v>
      </c>
      <c r="F279" s="41" t="s">
        <v>266</v>
      </c>
      <c r="G279" s="40" t="s">
        <v>207</v>
      </c>
      <c r="H279" s="40" t="s">
        <v>515</v>
      </c>
      <c r="I279" s="40" t="s">
        <v>267</v>
      </c>
      <c r="J279" s="40" t="s">
        <v>8</v>
      </c>
      <c r="K279" s="40" t="s">
        <v>516</v>
      </c>
      <c r="L279" s="40" t="s">
        <v>191</v>
      </c>
    </row>
    <row r="280" customFormat="false" ht="26.25" hidden="false" customHeight="true" outlineLevel="0" collapsed="false">
      <c r="A280" s="40" t="s">
        <v>133</v>
      </c>
      <c r="B280" s="40" t="s">
        <v>209</v>
      </c>
      <c r="C280" s="40" t="s">
        <v>517</v>
      </c>
      <c r="D280" s="40" t="s">
        <v>184</v>
      </c>
      <c r="E280" s="40" t="s">
        <v>42</v>
      </c>
      <c r="F280" s="41" t="s">
        <v>266</v>
      </c>
      <c r="G280" s="40" t="s">
        <v>207</v>
      </c>
      <c r="H280" s="40" t="s">
        <v>515</v>
      </c>
      <c r="I280" s="40" t="s">
        <v>267</v>
      </c>
      <c r="J280" s="40" t="s">
        <v>8</v>
      </c>
      <c r="K280" s="40" t="s">
        <v>516</v>
      </c>
      <c r="L280" s="40" t="s">
        <v>191</v>
      </c>
    </row>
    <row r="281" customFormat="false" ht="26.25" hidden="false" customHeight="true" outlineLevel="0" collapsed="false">
      <c r="A281" s="40" t="s">
        <v>133</v>
      </c>
      <c r="B281" s="40" t="s">
        <v>210</v>
      </c>
      <c r="C281" s="40" t="s">
        <v>514</v>
      </c>
      <c r="D281" s="40" t="s">
        <v>184</v>
      </c>
      <c r="E281" s="40" t="s">
        <v>43</v>
      </c>
      <c r="F281" s="41" t="s">
        <v>269</v>
      </c>
      <c r="G281" s="40" t="s">
        <v>212</v>
      </c>
      <c r="H281" s="40" t="s">
        <v>515</v>
      </c>
      <c r="I281" s="40" t="s">
        <v>270</v>
      </c>
      <c r="J281" s="40" t="s">
        <v>8</v>
      </c>
      <c r="K281" s="40" t="s">
        <v>516</v>
      </c>
      <c r="L281" s="40" t="s">
        <v>191</v>
      </c>
    </row>
    <row r="282" customFormat="false" ht="26.25" hidden="false" customHeight="true" outlineLevel="0" collapsed="false">
      <c r="A282" s="40" t="s">
        <v>133</v>
      </c>
      <c r="B282" s="40" t="s">
        <v>214</v>
      </c>
      <c r="C282" s="40" t="s">
        <v>517</v>
      </c>
      <c r="D282" s="40" t="s">
        <v>184</v>
      </c>
      <c r="E282" s="40" t="s">
        <v>43</v>
      </c>
      <c r="F282" s="41" t="s">
        <v>269</v>
      </c>
      <c r="G282" s="40" t="s">
        <v>212</v>
      </c>
      <c r="H282" s="40" t="s">
        <v>515</v>
      </c>
      <c r="I282" s="40" t="s">
        <v>270</v>
      </c>
      <c r="J282" s="40" t="s">
        <v>8</v>
      </c>
      <c r="K282" s="40" t="s">
        <v>516</v>
      </c>
      <c r="L282" s="40" t="s">
        <v>191</v>
      </c>
    </row>
    <row r="283" customFormat="false" ht="26.25" hidden="false" customHeight="true" outlineLevel="0" collapsed="false">
      <c r="A283" s="40" t="s">
        <v>133</v>
      </c>
      <c r="B283" s="40" t="s">
        <v>215</v>
      </c>
      <c r="C283" s="40" t="s">
        <v>514</v>
      </c>
      <c r="D283" s="40" t="s">
        <v>184</v>
      </c>
      <c r="E283" s="40" t="s">
        <v>44</v>
      </c>
      <c r="F283" s="41" t="s">
        <v>272</v>
      </c>
      <c r="G283" s="40" t="s">
        <v>217</v>
      </c>
      <c r="H283" s="40" t="s">
        <v>515</v>
      </c>
      <c r="I283" s="40" t="s">
        <v>273</v>
      </c>
      <c r="J283" s="40" t="s">
        <v>8</v>
      </c>
      <c r="K283" s="40" t="s">
        <v>516</v>
      </c>
      <c r="L283" s="40" t="s">
        <v>191</v>
      </c>
    </row>
    <row r="284" customFormat="false" ht="26.25" hidden="false" customHeight="true" outlineLevel="0" collapsed="false">
      <c r="A284" s="40" t="s">
        <v>133</v>
      </c>
      <c r="B284" s="40" t="s">
        <v>219</v>
      </c>
      <c r="C284" s="40" t="s">
        <v>517</v>
      </c>
      <c r="D284" s="40" t="s">
        <v>184</v>
      </c>
      <c r="E284" s="40" t="s">
        <v>44</v>
      </c>
      <c r="F284" s="41" t="s">
        <v>272</v>
      </c>
      <c r="G284" s="40" t="s">
        <v>217</v>
      </c>
      <c r="H284" s="40" t="s">
        <v>515</v>
      </c>
      <c r="I284" s="40" t="s">
        <v>273</v>
      </c>
      <c r="J284" s="40" t="s">
        <v>8</v>
      </c>
      <c r="K284" s="40" t="s">
        <v>516</v>
      </c>
      <c r="L284" s="40" t="s">
        <v>191</v>
      </c>
    </row>
    <row r="285" customFormat="false" ht="26.25" hidden="false" customHeight="true" outlineLevel="0" collapsed="false">
      <c r="A285" s="40" t="s">
        <v>133</v>
      </c>
      <c r="B285" s="40" t="s">
        <v>220</v>
      </c>
      <c r="C285" s="40" t="s">
        <v>514</v>
      </c>
      <c r="D285" s="40" t="s">
        <v>184</v>
      </c>
      <c r="E285" s="40" t="s">
        <v>45</v>
      </c>
      <c r="F285" s="41" t="s">
        <v>475</v>
      </c>
      <c r="G285" s="40" t="s">
        <v>222</v>
      </c>
      <c r="H285" s="40" t="s">
        <v>515</v>
      </c>
      <c r="I285" s="40" t="s">
        <v>476</v>
      </c>
      <c r="J285" s="40" t="s">
        <v>8</v>
      </c>
      <c r="K285" s="40" t="s">
        <v>522</v>
      </c>
      <c r="L285" s="40" t="s">
        <v>191</v>
      </c>
    </row>
    <row r="286" customFormat="false" ht="26.25" hidden="false" customHeight="true" outlineLevel="0" collapsed="false">
      <c r="A286" s="40" t="s">
        <v>133</v>
      </c>
      <c r="B286" s="40" t="s">
        <v>224</v>
      </c>
      <c r="C286" s="40" t="s">
        <v>517</v>
      </c>
      <c r="D286" s="40" t="s">
        <v>184</v>
      </c>
      <c r="E286" s="40" t="s">
        <v>45</v>
      </c>
      <c r="F286" s="41" t="s">
        <v>475</v>
      </c>
      <c r="G286" s="40" t="s">
        <v>222</v>
      </c>
      <c r="H286" s="40" t="s">
        <v>515</v>
      </c>
      <c r="I286" s="40" t="s">
        <v>476</v>
      </c>
      <c r="J286" s="40" t="s">
        <v>8</v>
      </c>
      <c r="K286" s="40" t="s">
        <v>522</v>
      </c>
      <c r="L286" s="40" t="s">
        <v>191</v>
      </c>
    </row>
    <row r="287" customFormat="false" ht="30.75" hidden="false" customHeight="true" outlineLevel="0" collapsed="false">
      <c r="A287" s="40" t="s">
        <v>133</v>
      </c>
      <c r="B287" s="40" t="s">
        <v>523</v>
      </c>
      <c r="C287" s="40" t="s">
        <v>514</v>
      </c>
      <c r="D287" s="40" t="s">
        <v>278</v>
      </c>
      <c r="E287" s="40" t="s">
        <v>46</v>
      </c>
      <c r="F287" s="41" t="s">
        <v>480</v>
      </c>
      <c r="G287" s="40" t="s">
        <v>280</v>
      </c>
      <c r="H287" s="40" t="s">
        <v>515</v>
      </c>
      <c r="I287" s="40" t="s">
        <v>481</v>
      </c>
      <c r="J287" s="40" t="s">
        <v>8</v>
      </c>
      <c r="K287" s="40" t="s">
        <v>282</v>
      </c>
      <c r="L287" s="40" t="s">
        <v>191</v>
      </c>
    </row>
    <row r="288" customFormat="false" ht="30.75" hidden="false" customHeight="true" outlineLevel="0" collapsed="false">
      <c r="A288" s="40" t="s">
        <v>133</v>
      </c>
      <c r="B288" s="40" t="s">
        <v>277</v>
      </c>
      <c r="C288" s="40" t="s">
        <v>517</v>
      </c>
      <c r="D288" s="40" t="s">
        <v>278</v>
      </c>
      <c r="E288" s="40" t="s">
        <v>46</v>
      </c>
      <c r="F288" s="41" t="s">
        <v>480</v>
      </c>
      <c r="G288" s="40" t="s">
        <v>280</v>
      </c>
      <c r="H288" s="40" t="s">
        <v>515</v>
      </c>
      <c r="I288" s="40" t="s">
        <v>481</v>
      </c>
      <c r="J288" s="40" t="s">
        <v>8</v>
      </c>
      <c r="K288" s="40" t="s">
        <v>282</v>
      </c>
      <c r="L288" s="40" t="s">
        <v>191</v>
      </c>
    </row>
    <row r="289" customFormat="false" ht="30.75" hidden="false" customHeight="true" outlineLevel="0" collapsed="false">
      <c r="A289" s="40" t="s">
        <v>133</v>
      </c>
      <c r="B289" s="40" t="s">
        <v>225</v>
      </c>
      <c r="C289" s="40" t="s">
        <v>514</v>
      </c>
      <c r="D289" s="40" t="s">
        <v>278</v>
      </c>
      <c r="E289" s="40" t="s">
        <v>47</v>
      </c>
      <c r="F289" s="41" t="s">
        <v>484</v>
      </c>
      <c r="G289" s="40" t="s">
        <v>285</v>
      </c>
      <c r="H289" s="40" t="s">
        <v>515</v>
      </c>
      <c r="I289" s="40" t="s">
        <v>485</v>
      </c>
      <c r="J289" s="40" t="s">
        <v>8</v>
      </c>
      <c r="K289" s="40" t="s">
        <v>287</v>
      </c>
      <c r="L289" s="40" t="s">
        <v>191</v>
      </c>
    </row>
    <row r="290" customFormat="false" ht="30.75" hidden="false" customHeight="true" outlineLevel="0" collapsed="false">
      <c r="A290" s="40" t="s">
        <v>133</v>
      </c>
      <c r="B290" s="40" t="s">
        <v>229</v>
      </c>
      <c r="C290" s="40" t="s">
        <v>517</v>
      </c>
      <c r="D290" s="40" t="s">
        <v>278</v>
      </c>
      <c r="E290" s="40" t="s">
        <v>47</v>
      </c>
      <c r="F290" s="41" t="s">
        <v>484</v>
      </c>
      <c r="G290" s="40" t="s">
        <v>285</v>
      </c>
      <c r="H290" s="40" t="s">
        <v>515</v>
      </c>
      <c r="I290" s="40" t="s">
        <v>485</v>
      </c>
      <c r="J290" s="40" t="s">
        <v>8</v>
      </c>
      <c r="K290" s="40" t="s">
        <v>287</v>
      </c>
      <c r="L290" s="40" t="s">
        <v>191</v>
      </c>
    </row>
    <row r="291" customFormat="false" ht="30.75" hidden="false" customHeight="true" outlineLevel="0" collapsed="false">
      <c r="A291" s="40" t="s">
        <v>133</v>
      </c>
      <c r="B291" s="40" t="s">
        <v>524</v>
      </c>
      <c r="C291" s="40" t="s">
        <v>514</v>
      </c>
      <c r="D291" s="40" t="s">
        <v>278</v>
      </c>
      <c r="E291" s="40" t="s">
        <v>48</v>
      </c>
      <c r="F291" s="41" t="s">
        <v>488</v>
      </c>
      <c r="G291" s="40" t="s">
        <v>291</v>
      </c>
      <c r="H291" s="40" t="s">
        <v>515</v>
      </c>
      <c r="I291" s="40" t="s">
        <v>489</v>
      </c>
      <c r="J291" s="40" t="s">
        <v>8</v>
      </c>
      <c r="K291" s="40" t="s">
        <v>490</v>
      </c>
      <c r="L291" s="40" t="s">
        <v>191</v>
      </c>
    </row>
    <row r="292" customFormat="false" ht="30.75" hidden="false" customHeight="true" outlineLevel="0" collapsed="false">
      <c r="A292" s="40" t="s">
        <v>133</v>
      </c>
      <c r="B292" s="40" t="s">
        <v>289</v>
      </c>
      <c r="C292" s="40" t="s">
        <v>517</v>
      </c>
      <c r="D292" s="40" t="s">
        <v>278</v>
      </c>
      <c r="E292" s="40" t="s">
        <v>48</v>
      </c>
      <c r="F292" s="41" t="s">
        <v>488</v>
      </c>
      <c r="G292" s="40" t="s">
        <v>291</v>
      </c>
      <c r="H292" s="40" t="s">
        <v>515</v>
      </c>
      <c r="I292" s="40" t="s">
        <v>489</v>
      </c>
      <c r="J292" s="40" t="s">
        <v>8</v>
      </c>
      <c r="K292" s="40" t="s">
        <v>490</v>
      </c>
      <c r="L292" s="40" t="s">
        <v>191</v>
      </c>
    </row>
    <row r="293" customFormat="false" ht="26.25" hidden="false" customHeight="true" outlineLevel="0" collapsed="false">
      <c r="A293" s="40" t="s">
        <v>133</v>
      </c>
      <c r="B293" s="40" t="s">
        <v>230</v>
      </c>
      <c r="C293" s="40" t="s">
        <v>514</v>
      </c>
      <c r="D293" s="40" t="s">
        <v>184</v>
      </c>
      <c r="E293" s="40" t="s">
        <v>49</v>
      </c>
      <c r="F293" s="41" t="s">
        <v>493</v>
      </c>
      <c r="G293" s="40" t="s">
        <v>212</v>
      </c>
      <c r="H293" s="40" t="s">
        <v>515</v>
      </c>
      <c r="I293" s="40" t="s">
        <v>494</v>
      </c>
      <c r="J293" s="40" t="s">
        <v>8</v>
      </c>
      <c r="K293" s="40" t="s">
        <v>522</v>
      </c>
      <c r="L293" s="40" t="s">
        <v>191</v>
      </c>
    </row>
    <row r="294" customFormat="false" ht="26.25" hidden="false" customHeight="true" outlineLevel="0" collapsed="false">
      <c r="A294" s="40" t="s">
        <v>133</v>
      </c>
      <c r="B294" s="40" t="s">
        <v>233</v>
      </c>
      <c r="C294" s="40" t="s">
        <v>517</v>
      </c>
      <c r="D294" s="40" t="s">
        <v>184</v>
      </c>
      <c r="E294" s="40" t="s">
        <v>49</v>
      </c>
      <c r="F294" s="41" t="s">
        <v>493</v>
      </c>
      <c r="G294" s="40" t="s">
        <v>212</v>
      </c>
      <c r="H294" s="40" t="s">
        <v>515</v>
      </c>
      <c r="I294" s="40" t="s">
        <v>494</v>
      </c>
      <c r="J294" s="40" t="s">
        <v>8</v>
      </c>
      <c r="K294" s="40" t="s">
        <v>522</v>
      </c>
      <c r="L294" s="40" t="s">
        <v>191</v>
      </c>
    </row>
    <row r="295" customFormat="false" ht="30.75" hidden="false" customHeight="true" outlineLevel="0" collapsed="false">
      <c r="A295" s="40" t="s">
        <v>133</v>
      </c>
      <c r="B295" s="40" t="s">
        <v>525</v>
      </c>
      <c r="C295" s="40" t="s">
        <v>514</v>
      </c>
      <c r="D295" s="40" t="s">
        <v>278</v>
      </c>
      <c r="E295" s="40" t="s">
        <v>50</v>
      </c>
      <c r="F295" s="41" t="s">
        <v>497</v>
      </c>
      <c r="G295" s="40" t="s">
        <v>298</v>
      </c>
      <c r="H295" s="40" t="s">
        <v>515</v>
      </c>
      <c r="I295" s="40" t="s">
        <v>498</v>
      </c>
      <c r="J295" s="40" t="s">
        <v>8</v>
      </c>
      <c r="K295" s="40" t="s">
        <v>282</v>
      </c>
      <c r="L295" s="40" t="s">
        <v>191</v>
      </c>
    </row>
    <row r="296" customFormat="false" ht="30.75" hidden="false" customHeight="true" outlineLevel="0" collapsed="false">
      <c r="A296" s="40" t="s">
        <v>133</v>
      </c>
      <c r="B296" s="40" t="s">
        <v>296</v>
      </c>
      <c r="C296" s="40" t="s">
        <v>517</v>
      </c>
      <c r="D296" s="40" t="s">
        <v>278</v>
      </c>
      <c r="E296" s="40" t="s">
        <v>50</v>
      </c>
      <c r="F296" s="41" t="s">
        <v>497</v>
      </c>
      <c r="G296" s="40" t="s">
        <v>298</v>
      </c>
      <c r="H296" s="40" t="s">
        <v>515</v>
      </c>
      <c r="I296" s="40" t="s">
        <v>498</v>
      </c>
      <c r="J296" s="40" t="s">
        <v>8</v>
      </c>
      <c r="K296" s="40" t="s">
        <v>282</v>
      </c>
      <c r="L296" s="40" t="s">
        <v>191</v>
      </c>
    </row>
    <row r="297" customFormat="false" ht="30.75" hidden="false" customHeight="true" outlineLevel="0" collapsed="false">
      <c r="A297" s="40" t="s">
        <v>133</v>
      </c>
      <c r="B297" s="40" t="s">
        <v>234</v>
      </c>
      <c r="C297" s="40" t="s">
        <v>514</v>
      </c>
      <c r="D297" s="40" t="s">
        <v>278</v>
      </c>
      <c r="E297" s="40" t="s">
        <v>51</v>
      </c>
      <c r="F297" s="41" t="s">
        <v>501</v>
      </c>
      <c r="G297" s="40" t="s">
        <v>302</v>
      </c>
      <c r="H297" s="40" t="s">
        <v>515</v>
      </c>
      <c r="I297" s="40" t="s">
        <v>502</v>
      </c>
      <c r="J297" s="40" t="s">
        <v>8</v>
      </c>
      <c r="K297" s="40" t="s">
        <v>287</v>
      </c>
      <c r="L297" s="40" t="s">
        <v>191</v>
      </c>
    </row>
    <row r="298" customFormat="false" ht="30.75" hidden="false" customHeight="true" outlineLevel="0" collapsed="false">
      <c r="A298" s="40" t="s">
        <v>133</v>
      </c>
      <c r="B298" s="40" t="s">
        <v>238</v>
      </c>
      <c r="C298" s="40" t="s">
        <v>517</v>
      </c>
      <c r="D298" s="40" t="s">
        <v>278</v>
      </c>
      <c r="E298" s="40" t="s">
        <v>51</v>
      </c>
      <c r="F298" s="41" t="s">
        <v>501</v>
      </c>
      <c r="G298" s="40" t="s">
        <v>302</v>
      </c>
      <c r="H298" s="40" t="s">
        <v>515</v>
      </c>
      <c r="I298" s="40" t="s">
        <v>502</v>
      </c>
      <c r="J298" s="40" t="s">
        <v>8</v>
      </c>
      <c r="K298" s="40" t="s">
        <v>287</v>
      </c>
      <c r="L298" s="40" t="s">
        <v>191</v>
      </c>
    </row>
    <row r="299" customFormat="false" ht="30.75" hidden="false" customHeight="true" outlineLevel="0" collapsed="false">
      <c r="A299" s="40" t="s">
        <v>133</v>
      </c>
      <c r="B299" s="40" t="s">
        <v>526</v>
      </c>
      <c r="C299" s="40" t="s">
        <v>514</v>
      </c>
      <c r="D299" s="40" t="s">
        <v>278</v>
      </c>
      <c r="E299" s="40" t="s">
        <v>52</v>
      </c>
      <c r="F299" s="41" t="s">
        <v>505</v>
      </c>
      <c r="G299" s="40" t="s">
        <v>307</v>
      </c>
      <c r="H299" s="40" t="s">
        <v>515</v>
      </c>
      <c r="I299" s="40" t="s">
        <v>506</v>
      </c>
      <c r="J299" s="40" t="s">
        <v>8</v>
      </c>
      <c r="K299" s="40" t="s">
        <v>490</v>
      </c>
      <c r="L299" s="40" t="s">
        <v>191</v>
      </c>
    </row>
    <row r="300" customFormat="false" ht="30.75" hidden="false" customHeight="true" outlineLevel="0" collapsed="false">
      <c r="A300" s="40" t="s">
        <v>133</v>
      </c>
      <c r="B300" s="40" t="s">
        <v>305</v>
      </c>
      <c r="C300" s="40" t="s">
        <v>517</v>
      </c>
      <c r="D300" s="40" t="s">
        <v>278</v>
      </c>
      <c r="E300" s="40" t="s">
        <v>52</v>
      </c>
      <c r="F300" s="41" t="s">
        <v>505</v>
      </c>
      <c r="G300" s="40" t="s">
        <v>307</v>
      </c>
      <c r="H300" s="40" t="s">
        <v>515</v>
      </c>
      <c r="I300" s="40" t="s">
        <v>506</v>
      </c>
      <c r="J300" s="40" t="s">
        <v>8</v>
      </c>
      <c r="K300" s="40" t="s">
        <v>490</v>
      </c>
      <c r="L300" s="40" t="s">
        <v>191</v>
      </c>
    </row>
    <row r="301" customFormat="false" ht="26.25" hidden="false" customHeight="true" outlineLevel="0" collapsed="false">
      <c r="A301" s="40" t="s">
        <v>133</v>
      </c>
      <c r="B301" s="40" t="s">
        <v>239</v>
      </c>
      <c r="C301" s="40" t="s">
        <v>514</v>
      </c>
      <c r="D301" s="40" t="s">
        <v>184</v>
      </c>
      <c r="E301" s="40" t="s">
        <v>53</v>
      </c>
      <c r="F301" s="41" t="s">
        <v>509</v>
      </c>
      <c r="G301" s="40" t="s">
        <v>217</v>
      </c>
      <c r="H301" s="40" t="s">
        <v>515</v>
      </c>
      <c r="I301" s="40" t="s">
        <v>510</v>
      </c>
      <c r="J301" s="40" t="s">
        <v>8</v>
      </c>
      <c r="K301" s="40" t="s">
        <v>522</v>
      </c>
      <c r="L301" s="40" t="s">
        <v>191</v>
      </c>
    </row>
    <row r="302" customFormat="false" ht="26.25" hidden="false" customHeight="true" outlineLevel="0" collapsed="false">
      <c r="A302" s="40" t="s">
        <v>133</v>
      </c>
      <c r="B302" s="40" t="s">
        <v>242</v>
      </c>
      <c r="C302" s="40" t="s">
        <v>517</v>
      </c>
      <c r="D302" s="40" t="s">
        <v>184</v>
      </c>
      <c r="E302" s="40" t="s">
        <v>53</v>
      </c>
      <c r="F302" s="41" t="s">
        <v>509</v>
      </c>
      <c r="G302" s="40" t="s">
        <v>217</v>
      </c>
      <c r="H302" s="40" t="s">
        <v>515</v>
      </c>
      <c r="I302" s="40" t="s">
        <v>510</v>
      </c>
      <c r="J302" s="40" t="s">
        <v>8</v>
      </c>
      <c r="K302" s="40" t="s">
        <v>522</v>
      </c>
      <c r="L302" s="40" t="s">
        <v>191</v>
      </c>
    </row>
    <row r="303" customFormat="false" ht="26.25" hidden="false" customHeight="true" outlineLevel="0" collapsed="false">
      <c r="A303" s="40" t="s">
        <v>140</v>
      </c>
      <c r="B303" s="40" t="s">
        <v>251</v>
      </c>
      <c r="C303" s="40" t="s">
        <v>527</v>
      </c>
      <c r="D303" s="40" t="s">
        <v>528</v>
      </c>
      <c r="E303" s="40" t="s">
        <v>529</v>
      </c>
      <c r="F303" s="40" t="s">
        <v>530</v>
      </c>
      <c r="G303" s="40" t="s">
        <v>531</v>
      </c>
      <c r="H303" s="40" t="s">
        <v>532</v>
      </c>
      <c r="I303" s="40" t="s">
        <v>533</v>
      </c>
      <c r="J303" s="40" t="s">
        <v>534</v>
      </c>
      <c r="K303" s="40" t="s">
        <v>535</v>
      </c>
      <c r="L303" s="40" t="s">
        <v>191</v>
      </c>
    </row>
    <row r="304" customFormat="false" ht="26.25" hidden="false" customHeight="true" outlineLevel="0" collapsed="false">
      <c r="A304" s="40" t="s">
        <v>79</v>
      </c>
      <c r="B304" s="40" t="s">
        <v>536</v>
      </c>
      <c r="C304" s="40" t="s">
        <v>537</v>
      </c>
      <c r="D304" s="40" t="s">
        <v>538</v>
      </c>
      <c r="E304" s="40" t="s">
        <v>37</v>
      </c>
      <c r="F304" s="40" t="s">
        <v>539</v>
      </c>
      <c r="G304" s="40" t="s">
        <v>246</v>
      </c>
      <c r="H304" s="40" t="s">
        <v>540</v>
      </c>
      <c r="I304" s="40" t="s">
        <v>541</v>
      </c>
      <c r="J304" s="40" t="s">
        <v>533</v>
      </c>
      <c r="K304" s="40" t="s">
        <v>542</v>
      </c>
      <c r="L304" s="40" t="s">
        <v>543</v>
      </c>
    </row>
    <row r="305" customFormat="false" ht="26.25" hidden="false" customHeight="true" outlineLevel="0" collapsed="false">
      <c r="A305" s="40" t="s">
        <v>79</v>
      </c>
      <c r="B305" s="40" t="s">
        <v>536</v>
      </c>
      <c r="C305" s="40" t="s">
        <v>544</v>
      </c>
      <c r="D305" s="40" t="s">
        <v>538</v>
      </c>
      <c r="E305" s="40" t="s">
        <v>37</v>
      </c>
      <c r="F305" s="40" t="s">
        <v>539</v>
      </c>
      <c r="G305" s="40" t="s">
        <v>246</v>
      </c>
      <c r="H305" s="40" t="s">
        <v>540</v>
      </c>
      <c r="I305" s="40" t="s">
        <v>541</v>
      </c>
      <c r="J305" s="40" t="s">
        <v>533</v>
      </c>
      <c r="K305" s="40" t="s">
        <v>545</v>
      </c>
      <c r="L305" s="40" t="s">
        <v>543</v>
      </c>
    </row>
    <row r="306" customFormat="false" ht="26.25" hidden="false" customHeight="true" outlineLevel="0" collapsed="false">
      <c r="A306" s="40" t="s">
        <v>79</v>
      </c>
      <c r="B306" s="40" t="s">
        <v>536</v>
      </c>
      <c r="C306" s="40" t="s">
        <v>537</v>
      </c>
      <c r="D306" s="40" t="s">
        <v>538</v>
      </c>
      <c r="E306" s="40" t="s">
        <v>38</v>
      </c>
      <c r="F306" s="40" t="s">
        <v>185</v>
      </c>
      <c r="G306" s="40" t="s">
        <v>186</v>
      </c>
      <c r="H306" s="40" t="s">
        <v>540</v>
      </c>
      <c r="I306" s="40" t="s">
        <v>188</v>
      </c>
      <c r="J306" s="40" t="s">
        <v>533</v>
      </c>
      <c r="K306" s="40" t="s">
        <v>542</v>
      </c>
      <c r="L306" s="40" t="s">
        <v>543</v>
      </c>
    </row>
    <row r="307" customFormat="false" ht="26.25" hidden="false" customHeight="true" outlineLevel="0" collapsed="false">
      <c r="A307" s="40" t="s">
        <v>79</v>
      </c>
      <c r="B307" s="40" t="s">
        <v>536</v>
      </c>
      <c r="C307" s="40" t="s">
        <v>537</v>
      </c>
      <c r="D307" s="40" t="s">
        <v>538</v>
      </c>
      <c r="E307" s="40" t="s">
        <v>39</v>
      </c>
      <c r="F307" s="41" t="s">
        <v>193</v>
      </c>
      <c r="G307" s="40" t="s">
        <v>194</v>
      </c>
      <c r="H307" s="40" t="s">
        <v>540</v>
      </c>
      <c r="I307" s="40" t="s">
        <v>195</v>
      </c>
      <c r="J307" s="40" t="s">
        <v>533</v>
      </c>
      <c r="K307" s="40" t="s">
        <v>542</v>
      </c>
      <c r="L307" s="40" t="s">
        <v>543</v>
      </c>
    </row>
    <row r="308" customFormat="false" ht="26.25" hidden="false" customHeight="true" outlineLevel="0" collapsed="false">
      <c r="A308" s="40" t="s">
        <v>79</v>
      </c>
      <c r="B308" s="40" t="s">
        <v>536</v>
      </c>
      <c r="C308" s="40" t="s">
        <v>537</v>
      </c>
      <c r="D308" s="40" t="s">
        <v>538</v>
      </c>
      <c r="E308" s="40" t="s">
        <v>40</v>
      </c>
      <c r="F308" s="41" t="s">
        <v>197</v>
      </c>
      <c r="G308" s="40" t="s">
        <v>198</v>
      </c>
      <c r="H308" s="40" t="s">
        <v>540</v>
      </c>
      <c r="I308" s="40" t="s">
        <v>199</v>
      </c>
      <c r="J308" s="40" t="s">
        <v>533</v>
      </c>
      <c r="K308" s="40" t="s">
        <v>542</v>
      </c>
      <c r="L308" s="40" t="s">
        <v>543</v>
      </c>
    </row>
    <row r="309" customFormat="false" ht="26.25" hidden="false" customHeight="true" outlineLevel="0" collapsed="false">
      <c r="A309" s="40" t="s">
        <v>79</v>
      </c>
      <c r="B309" s="40" t="s">
        <v>536</v>
      </c>
      <c r="C309" s="40" t="s">
        <v>537</v>
      </c>
      <c r="D309" s="40" t="s">
        <v>538</v>
      </c>
      <c r="E309" s="40" t="s">
        <v>41</v>
      </c>
      <c r="F309" s="41" t="s">
        <v>201</v>
      </c>
      <c r="G309" s="40" t="s">
        <v>202</v>
      </c>
      <c r="H309" s="40" t="s">
        <v>540</v>
      </c>
      <c r="I309" s="40" t="s">
        <v>203</v>
      </c>
      <c r="J309" s="40" t="s">
        <v>533</v>
      </c>
      <c r="K309" s="40" t="s">
        <v>542</v>
      </c>
      <c r="L309" s="40" t="s">
        <v>543</v>
      </c>
    </row>
    <row r="310" customFormat="false" ht="26.25" hidden="false" customHeight="true" outlineLevel="0" collapsed="false">
      <c r="A310" s="40" t="s">
        <v>79</v>
      </c>
      <c r="B310" s="40" t="s">
        <v>536</v>
      </c>
      <c r="C310" s="40" t="s">
        <v>546</v>
      </c>
      <c r="D310" s="40" t="s">
        <v>538</v>
      </c>
      <c r="E310" s="40" t="s">
        <v>46</v>
      </c>
      <c r="F310" s="41" t="s">
        <v>547</v>
      </c>
      <c r="G310" s="40" t="s">
        <v>548</v>
      </c>
      <c r="H310" s="40" t="s">
        <v>540</v>
      </c>
      <c r="I310" s="40" t="s">
        <v>549</v>
      </c>
      <c r="J310" s="40" t="s">
        <v>533</v>
      </c>
      <c r="K310" s="40" t="s">
        <v>550</v>
      </c>
      <c r="L310" s="40" t="s">
        <v>543</v>
      </c>
    </row>
    <row r="311" customFormat="false" ht="26.25" hidden="false" customHeight="true" outlineLevel="0" collapsed="false">
      <c r="A311" s="40" t="s">
        <v>79</v>
      </c>
      <c r="B311" s="40" t="s">
        <v>536</v>
      </c>
      <c r="C311" s="40" t="s">
        <v>546</v>
      </c>
      <c r="D311" s="40" t="s">
        <v>538</v>
      </c>
      <c r="E311" s="40" t="s">
        <v>48</v>
      </c>
      <c r="F311" s="41" t="s">
        <v>211</v>
      </c>
      <c r="G311" s="40" t="s">
        <v>212</v>
      </c>
      <c r="H311" s="40" t="s">
        <v>540</v>
      </c>
      <c r="I311" s="40" t="s">
        <v>213</v>
      </c>
      <c r="J311" s="40" t="s">
        <v>533</v>
      </c>
      <c r="K311" s="40" t="s">
        <v>550</v>
      </c>
      <c r="L311" s="40" t="s">
        <v>543</v>
      </c>
    </row>
    <row r="312" customFormat="false" ht="26.25" hidden="false" customHeight="true" outlineLevel="0" collapsed="false">
      <c r="A312" s="40" t="s">
        <v>79</v>
      </c>
      <c r="B312" s="40" t="s">
        <v>536</v>
      </c>
      <c r="C312" s="40" t="s">
        <v>546</v>
      </c>
      <c r="D312" s="40" t="s">
        <v>538</v>
      </c>
      <c r="E312" s="40" t="s">
        <v>50</v>
      </c>
      <c r="F312" s="41" t="s">
        <v>551</v>
      </c>
      <c r="G312" s="40" t="s">
        <v>552</v>
      </c>
      <c r="H312" s="40" t="s">
        <v>540</v>
      </c>
      <c r="I312" s="40" t="s">
        <v>553</v>
      </c>
      <c r="J312" s="40" t="s">
        <v>533</v>
      </c>
      <c r="K312" s="40" t="s">
        <v>550</v>
      </c>
      <c r="L312" s="40" t="s">
        <v>543</v>
      </c>
    </row>
    <row r="313" customFormat="false" ht="26.25" hidden="false" customHeight="true" outlineLevel="0" collapsed="false">
      <c r="A313" s="40" t="s">
        <v>79</v>
      </c>
      <c r="B313" s="40" t="s">
        <v>536</v>
      </c>
      <c r="C313" s="40" t="s">
        <v>546</v>
      </c>
      <c r="D313" s="40" t="s">
        <v>538</v>
      </c>
      <c r="E313" s="40" t="s">
        <v>52</v>
      </c>
      <c r="F313" s="41" t="s">
        <v>216</v>
      </c>
      <c r="G313" s="40" t="s">
        <v>217</v>
      </c>
      <c r="H313" s="40" t="s">
        <v>540</v>
      </c>
      <c r="I313" s="40" t="s">
        <v>218</v>
      </c>
      <c r="J313" s="40" t="s">
        <v>533</v>
      </c>
      <c r="K313" s="40" t="s">
        <v>550</v>
      </c>
      <c r="L313" s="40" t="s">
        <v>543</v>
      </c>
    </row>
    <row r="314" customFormat="false" ht="28.5" hidden="false" customHeight="true" outlineLevel="0" collapsed="false">
      <c r="A314" s="40" t="s">
        <v>93</v>
      </c>
      <c r="B314" s="40" t="s">
        <v>536</v>
      </c>
      <c r="C314" s="41" t="s">
        <v>554</v>
      </c>
      <c r="D314" s="40" t="s">
        <v>538</v>
      </c>
      <c r="E314" s="40" t="s">
        <v>45</v>
      </c>
      <c r="F314" s="40" t="s">
        <v>555</v>
      </c>
      <c r="G314" s="40" t="s">
        <v>556</v>
      </c>
      <c r="H314" s="40" t="s">
        <v>540</v>
      </c>
      <c r="I314" s="40"/>
      <c r="J314" s="40" t="s">
        <v>533</v>
      </c>
      <c r="K314" s="40" t="s">
        <v>557</v>
      </c>
      <c r="L314" s="40" t="s">
        <v>543</v>
      </c>
    </row>
    <row r="315" customFormat="false" ht="28.5" hidden="false" customHeight="true" outlineLevel="0" collapsed="false">
      <c r="A315" s="40" t="s">
        <v>93</v>
      </c>
      <c r="B315" s="40" t="s">
        <v>536</v>
      </c>
      <c r="C315" s="41" t="s">
        <v>554</v>
      </c>
      <c r="D315" s="40" t="s">
        <v>538</v>
      </c>
      <c r="E315" s="40" t="s">
        <v>46</v>
      </c>
      <c r="F315" s="40" t="s">
        <v>555</v>
      </c>
      <c r="G315" s="40" t="s">
        <v>556</v>
      </c>
      <c r="H315" s="40" t="s">
        <v>540</v>
      </c>
      <c r="I315" s="40"/>
      <c r="J315" s="40" t="s">
        <v>533</v>
      </c>
      <c r="K315" s="40" t="s">
        <v>557</v>
      </c>
      <c r="L315" s="40" t="s">
        <v>543</v>
      </c>
    </row>
    <row r="316" customFormat="false" ht="28.5" hidden="false" customHeight="true" outlineLevel="0" collapsed="false">
      <c r="A316" s="40" t="s">
        <v>93</v>
      </c>
      <c r="B316" s="40" t="s">
        <v>536</v>
      </c>
      <c r="C316" s="41" t="s">
        <v>554</v>
      </c>
      <c r="D316" s="40" t="s">
        <v>538</v>
      </c>
      <c r="E316" s="40" t="s">
        <v>47</v>
      </c>
      <c r="F316" s="40" t="s">
        <v>555</v>
      </c>
      <c r="G316" s="40" t="s">
        <v>556</v>
      </c>
      <c r="H316" s="40" t="s">
        <v>540</v>
      </c>
      <c r="I316" s="40"/>
      <c r="J316" s="40" t="s">
        <v>533</v>
      </c>
      <c r="K316" s="40" t="s">
        <v>557</v>
      </c>
      <c r="L316" s="40" t="s">
        <v>543</v>
      </c>
    </row>
    <row r="317" customFormat="false" ht="28.5" hidden="false" customHeight="true" outlineLevel="0" collapsed="false">
      <c r="A317" s="40" t="s">
        <v>93</v>
      </c>
      <c r="B317" s="40" t="s">
        <v>536</v>
      </c>
      <c r="C317" s="41" t="s">
        <v>554</v>
      </c>
      <c r="D317" s="40" t="s">
        <v>538</v>
      </c>
      <c r="E317" s="40" t="s">
        <v>48</v>
      </c>
      <c r="F317" s="40" t="s">
        <v>555</v>
      </c>
      <c r="G317" s="40" t="s">
        <v>556</v>
      </c>
      <c r="H317" s="40" t="s">
        <v>540</v>
      </c>
      <c r="I317" s="40"/>
      <c r="J317" s="40" t="s">
        <v>533</v>
      </c>
      <c r="K317" s="40" t="s">
        <v>557</v>
      </c>
      <c r="L317" s="40" t="s">
        <v>543</v>
      </c>
    </row>
    <row r="318" customFormat="false" ht="28.5" hidden="false" customHeight="true" outlineLevel="0" collapsed="false">
      <c r="A318" s="40" t="s">
        <v>93</v>
      </c>
      <c r="B318" s="40" t="s">
        <v>536</v>
      </c>
      <c r="C318" s="41" t="s">
        <v>554</v>
      </c>
      <c r="D318" s="40" t="s">
        <v>538</v>
      </c>
      <c r="E318" s="40" t="s">
        <v>49</v>
      </c>
      <c r="F318" s="40" t="s">
        <v>555</v>
      </c>
      <c r="G318" s="40" t="s">
        <v>556</v>
      </c>
      <c r="H318" s="40" t="s">
        <v>540</v>
      </c>
      <c r="I318" s="40"/>
      <c r="J318" s="40" t="s">
        <v>533</v>
      </c>
      <c r="K318" s="40" t="s">
        <v>557</v>
      </c>
      <c r="L318" s="40" t="s">
        <v>543</v>
      </c>
    </row>
    <row r="319" customFormat="false" ht="28.5" hidden="false" customHeight="true" outlineLevel="0" collapsed="false">
      <c r="A319" s="40" t="s">
        <v>93</v>
      </c>
      <c r="B319" s="40" t="s">
        <v>536</v>
      </c>
      <c r="C319" s="41" t="s">
        <v>554</v>
      </c>
      <c r="D319" s="40" t="s">
        <v>538</v>
      </c>
      <c r="E319" s="40" t="s">
        <v>50</v>
      </c>
      <c r="F319" s="40" t="s">
        <v>555</v>
      </c>
      <c r="G319" s="40" t="s">
        <v>556</v>
      </c>
      <c r="H319" s="40" t="s">
        <v>540</v>
      </c>
      <c r="I319" s="40"/>
      <c r="J319" s="40" t="s">
        <v>533</v>
      </c>
      <c r="K319" s="40" t="s">
        <v>557</v>
      </c>
      <c r="L319" s="40" t="s">
        <v>543</v>
      </c>
    </row>
    <row r="320" customFormat="false" ht="28.5" hidden="false" customHeight="true" outlineLevel="0" collapsed="false">
      <c r="A320" s="40" t="s">
        <v>93</v>
      </c>
      <c r="B320" s="40" t="s">
        <v>536</v>
      </c>
      <c r="C320" s="41" t="s">
        <v>554</v>
      </c>
      <c r="D320" s="40" t="s">
        <v>538</v>
      </c>
      <c r="E320" s="40" t="s">
        <v>51</v>
      </c>
      <c r="F320" s="40" t="s">
        <v>555</v>
      </c>
      <c r="G320" s="40" t="s">
        <v>556</v>
      </c>
      <c r="H320" s="40" t="s">
        <v>540</v>
      </c>
      <c r="I320" s="40"/>
      <c r="J320" s="40" t="s">
        <v>533</v>
      </c>
      <c r="K320" s="40" t="s">
        <v>557</v>
      </c>
      <c r="L320" s="40" t="s">
        <v>543</v>
      </c>
    </row>
    <row r="321" customFormat="false" ht="28.5" hidden="false" customHeight="true" outlineLevel="0" collapsed="false">
      <c r="A321" s="40" t="s">
        <v>93</v>
      </c>
      <c r="B321" s="40" t="s">
        <v>536</v>
      </c>
      <c r="C321" s="41" t="s">
        <v>554</v>
      </c>
      <c r="D321" s="40" t="s">
        <v>538</v>
      </c>
      <c r="E321" s="40" t="s">
        <v>52</v>
      </c>
      <c r="F321" s="40" t="s">
        <v>555</v>
      </c>
      <c r="G321" s="40" t="s">
        <v>556</v>
      </c>
      <c r="H321" s="40" t="s">
        <v>540</v>
      </c>
      <c r="I321" s="40"/>
      <c r="J321" s="40" t="s">
        <v>533</v>
      </c>
      <c r="K321" s="40" t="s">
        <v>557</v>
      </c>
      <c r="L321" s="40" t="s">
        <v>543</v>
      </c>
    </row>
    <row r="322" customFormat="false" ht="28.5" hidden="false" customHeight="true" outlineLevel="0" collapsed="false">
      <c r="A322" s="40" t="s">
        <v>93</v>
      </c>
      <c r="B322" s="40" t="s">
        <v>536</v>
      </c>
      <c r="C322" s="41" t="s">
        <v>554</v>
      </c>
      <c r="D322" s="40" t="s">
        <v>538</v>
      </c>
      <c r="E322" s="40" t="s">
        <v>53</v>
      </c>
      <c r="F322" s="40" t="s">
        <v>555</v>
      </c>
      <c r="G322" s="40" t="s">
        <v>556</v>
      </c>
      <c r="H322" s="40" t="s">
        <v>540</v>
      </c>
      <c r="I322" s="40"/>
      <c r="J322" s="40" t="s">
        <v>533</v>
      </c>
      <c r="K322" s="40" t="s">
        <v>557</v>
      </c>
      <c r="L322" s="40" t="s">
        <v>543</v>
      </c>
    </row>
    <row r="323" customFormat="false" ht="28.5" hidden="false" customHeight="true" outlineLevel="0" collapsed="false">
      <c r="A323" s="40" t="s">
        <v>93</v>
      </c>
      <c r="B323" s="40" t="s">
        <v>536</v>
      </c>
      <c r="C323" s="41" t="s">
        <v>558</v>
      </c>
      <c r="D323" s="40" t="s">
        <v>538</v>
      </c>
      <c r="E323" s="40" t="s">
        <v>45</v>
      </c>
      <c r="F323" s="40" t="s">
        <v>555</v>
      </c>
      <c r="G323" s="40" t="s">
        <v>556</v>
      </c>
      <c r="H323" s="40" t="s">
        <v>540</v>
      </c>
      <c r="I323" s="40"/>
      <c r="J323" s="40" t="s">
        <v>533</v>
      </c>
      <c r="K323" s="40" t="s">
        <v>557</v>
      </c>
      <c r="L323" s="40" t="s">
        <v>543</v>
      </c>
    </row>
    <row r="324" customFormat="false" ht="28.5" hidden="false" customHeight="true" outlineLevel="0" collapsed="false">
      <c r="A324" s="40" t="s">
        <v>93</v>
      </c>
      <c r="B324" s="40" t="s">
        <v>536</v>
      </c>
      <c r="C324" s="41" t="s">
        <v>558</v>
      </c>
      <c r="D324" s="40" t="s">
        <v>538</v>
      </c>
      <c r="E324" s="40" t="s">
        <v>46</v>
      </c>
      <c r="F324" s="40" t="s">
        <v>555</v>
      </c>
      <c r="G324" s="40" t="s">
        <v>556</v>
      </c>
      <c r="H324" s="40" t="s">
        <v>540</v>
      </c>
      <c r="I324" s="40"/>
      <c r="J324" s="40" t="s">
        <v>533</v>
      </c>
      <c r="K324" s="40" t="s">
        <v>557</v>
      </c>
      <c r="L324" s="40" t="s">
        <v>543</v>
      </c>
    </row>
    <row r="325" customFormat="false" ht="28.5" hidden="false" customHeight="true" outlineLevel="0" collapsed="false">
      <c r="A325" s="40" t="s">
        <v>93</v>
      </c>
      <c r="B325" s="40" t="s">
        <v>536</v>
      </c>
      <c r="C325" s="41" t="s">
        <v>558</v>
      </c>
      <c r="D325" s="40" t="s">
        <v>538</v>
      </c>
      <c r="E325" s="40" t="s">
        <v>47</v>
      </c>
      <c r="F325" s="40" t="s">
        <v>555</v>
      </c>
      <c r="G325" s="40" t="s">
        <v>556</v>
      </c>
      <c r="H325" s="40" t="s">
        <v>540</v>
      </c>
      <c r="I325" s="40"/>
      <c r="J325" s="40" t="s">
        <v>533</v>
      </c>
      <c r="K325" s="40" t="s">
        <v>557</v>
      </c>
      <c r="L325" s="40" t="s">
        <v>543</v>
      </c>
    </row>
    <row r="326" customFormat="false" ht="28.5" hidden="false" customHeight="true" outlineLevel="0" collapsed="false">
      <c r="A326" s="40" t="s">
        <v>93</v>
      </c>
      <c r="B326" s="40" t="s">
        <v>536</v>
      </c>
      <c r="C326" s="41" t="s">
        <v>558</v>
      </c>
      <c r="D326" s="40" t="s">
        <v>538</v>
      </c>
      <c r="E326" s="40" t="s">
        <v>48</v>
      </c>
      <c r="F326" s="40" t="s">
        <v>555</v>
      </c>
      <c r="G326" s="40" t="s">
        <v>556</v>
      </c>
      <c r="H326" s="40" t="s">
        <v>540</v>
      </c>
      <c r="I326" s="40"/>
      <c r="J326" s="40" t="s">
        <v>533</v>
      </c>
      <c r="K326" s="40" t="s">
        <v>557</v>
      </c>
      <c r="L326" s="40" t="s">
        <v>543</v>
      </c>
    </row>
    <row r="327" customFormat="false" ht="28.5" hidden="false" customHeight="true" outlineLevel="0" collapsed="false">
      <c r="A327" s="40" t="s">
        <v>93</v>
      </c>
      <c r="B327" s="40" t="s">
        <v>536</v>
      </c>
      <c r="C327" s="41" t="s">
        <v>558</v>
      </c>
      <c r="D327" s="40" t="s">
        <v>538</v>
      </c>
      <c r="E327" s="40" t="s">
        <v>49</v>
      </c>
      <c r="F327" s="40" t="s">
        <v>555</v>
      </c>
      <c r="G327" s="40" t="s">
        <v>556</v>
      </c>
      <c r="H327" s="40" t="s">
        <v>540</v>
      </c>
      <c r="I327" s="40"/>
      <c r="J327" s="40" t="s">
        <v>533</v>
      </c>
      <c r="K327" s="40" t="s">
        <v>557</v>
      </c>
      <c r="L327" s="40" t="s">
        <v>543</v>
      </c>
    </row>
    <row r="328" customFormat="false" ht="28.5" hidden="false" customHeight="true" outlineLevel="0" collapsed="false">
      <c r="A328" s="40" t="s">
        <v>93</v>
      </c>
      <c r="B328" s="40" t="s">
        <v>536</v>
      </c>
      <c r="C328" s="41" t="s">
        <v>558</v>
      </c>
      <c r="D328" s="40" t="s">
        <v>538</v>
      </c>
      <c r="E328" s="40" t="s">
        <v>50</v>
      </c>
      <c r="F328" s="40" t="s">
        <v>555</v>
      </c>
      <c r="G328" s="40" t="s">
        <v>556</v>
      </c>
      <c r="H328" s="40" t="s">
        <v>540</v>
      </c>
      <c r="I328" s="40"/>
      <c r="J328" s="40" t="s">
        <v>533</v>
      </c>
      <c r="K328" s="40" t="s">
        <v>557</v>
      </c>
      <c r="L328" s="40" t="s">
        <v>543</v>
      </c>
    </row>
    <row r="329" customFormat="false" ht="28.5" hidden="false" customHeight="true" outlineLevel="0" collapsed="false">
      <c r="A329" s="40" t="s">
        <v>93</v>
      </c>
      <c r="B329" s="40" t="s">
        <v>536</v>
      </c>
      <c r="C329" s="41" t="s">
        <v>558</v>
      </c>
      <c r="D329" s="40" t="s">
        <v>538</v>
      </c>
      <c r="E329" s="40" t="s">
        <v>51</v>
      </c>
      <c r="F329" s="40" t="s">
        <v>555</v>
      </c>
      <c r="G329" s="40" t="s">
        <v>556</v>
      </c>
      <c r="H329" s="40" t="s">
        <v>540</v>
      </c>
      <c r="I329" s="40"/>
      <c r="J329" s="40" t="s">
        <v>533</v>
      </c>
      <c r="K329" s="40" t="s">
        <v>557</v>
      </c>
      <c r="L329" s="40" t="s">
        <v>543</v>
      </c>
    </row>
    <row r="330" customFormat="false" ht="28.5" hidden="false" customHeight="true" outlineLevel="0" collapsed="false">
      <c r="A330" s="40" t="s">
        <v>93</v>
      </c>
      <c r="B330" s="40" t="s">
        <v>536</v>
      </c>
      <c r="C330" s="41" t="s">
        <v>558</v>
      </c>
      <c r="D330" s="40" t="s">
        <v>538</v>
      </c>
      <c r="E330" s="40" t="s">
        <v>52</v>
      </c>
      <c r="F330" s="40" t="s">
        <v>555</v>
      </c>
      <c r="G330" s="40" t="s">
        <v>556</v>
      </c>
      <c r="H330" s="40" t="s">
        <v>540</v>
      </c>
      <c r="I330" s="40"/>
      <c r="J330" s="40" t="s">
        <v>533</v>
      </c>
      <c r="K330" s="40" t="s">
        <v>557</v>
      </c>
      <c r="L330" s="40" t="s">
        <v>543</v>
      </c>
    </row>
    <row r="331" customFormat="false" ht="28.5" hidden="false" customHeight="true" outlineLevel="0" collapsed="false">
      <c r="A331" s="40" t="s">
        <v>93</v>
      </c>
      <c r="B331" s="40" t="s">
        <v>536</v>
      </c>
      <c r="C331" s="41" t="s">
        <v>558</v>
      </c>
      <c r="D331" s="40" t="s">
        <v>538</v>
      </c>
      <c r="E331" s="40" t="s">
        <v>53</v>
      </c>
      <c r="F331" s="40" t="s">
        <v>555</v>
      </c>
      <c r="G331" s="40" t="s">
        <v>556</v>
      </c>
      <c r="H331" s="40" t="s">
        <v>540</v>
      </c>
      <c r="I331" s="40"/>
      <c r="J331" s="40" t="s">
        <v>533</v>
      </c>
      <c r="K331" s="40" t="s">
        <v>557</v>
      </c>
      <c r="L331" s="40" t="s">
        <v>543</v>
      </c>
    </row>
    <row r="332" customFormat="false" ht="28.5" hidden="false" customHeight="true" outlineLevel="0" collapsed="false">
      <c r="A332" s="40" t="s">
        <v>93</v>
      </c>
      <c r="B332" s="40" t="s">
        <v>536</v>
      </c>
      <c r="C332" s="41" t="s">
        <v>559</v>
      </c>
      <c r="D332" s="40" t="s">
        <v>538</v>
      </c>
      <c r="E332" s="40" t="s">
        <v>45</v>
      </c>
      <c r="F332" s="40" t="s">
        <v>555</v>
      </c>
      <c r="G332" s="40" t="s">
        <v>556</v>
      </c>
      <c r="H332" s="40" t="s">
        <v>540</v>
      </c>
      <c r="I332" s="40"/>
      <c r="J332" s="40" t="s">
        <v>533</v>
      </c>
      <c r="K332" s="40" t="s">
        <v>557</v>
      </c>
      <c r="L332" s="40" t="s">
        <v>543</v>
      </c>
    </row>
    <row r="333" customFormat="false" ht="28.5" hidden="false" customHeight="true" outlineLevel="0" collapsed="false">
      <c r="A333" s="40" t="s">
        <v>93</v>
      </c>
      <c r="B333" s="40" t="s">
        <v>536</v>
      </c>
      <c r="C333" s="41" t="s">
        <v>559</v>
      </c>
      <c r="D333" s="40" t="s">
        <v>538</v>
      </c>
      <c r="E333" s="40" t="s">
        <v>46</v>
      </c>
      <c r="F333" s="40" t="s">
        <v>555</v>
      </c>
      <c r="G333" s="40" t="s">
        <v>556</v>
      </c>
      <c r="H333" s="40" t="s">
        <v>540</v>
      </c>
      <c r="I333" s="40"/>
      <c r="J333" s="40" t="s">
        <v>533</v>
      </c>
      <c r="K333" s="40" t="s">
        <v>557</v>
      </c>
      <c r="L333" s="40" t="s">
        <v>543</v>
      </c>
    </row>
    <row r="334" customFormat="false" ht="28.5" hidden="false" customHeight="true" outlineLevel="0" collapsed="false">
      <c r="A334" s="40" t="s">
        <v>93</v>
      </c>
      <c r="B334" s="40" t="s">
        <v>536</v>
      </c>
      <c r="C334" s="41" t="s">
        <v>559</v>
      </c>
      <c r="D334" s="40" t="s">
        <v>538</v>
      </c>
      <c r="E334" s="40" t="s">
        <v>47</v>
      </c>
      <c r="F334" s="40" t="s">
        <v>555</v>
      </c>
      <c r="G334" s="40" t="s">
        <v>556</v>
      </c>
      <c r="H334" s="40" t="s">
        <v>540</v>
      </c>
      <c r="I334" s="40"/>
      <c r="J334" s="40" t="s">
        <v>533</v>
      </c>
      <c r="K334" s="40" t="s">
        <v>557</v>
      </c>
      <c r="L334" s="40" t="s">
        <v>543</v>
      </c>
    </row>
    <row r="335" customFormat="false" ht="28.5" hidden="false" customHeight="true" outlineLevel="0" collapsed="false">
      <c r="A335" s="40" t="s">
        <v>93</v>
      </c>
      <c r="B335" s="40" t="s">
        <v>536</v>
      </c>
      <c r="C335" s="41" t="s">
        <v>559</v>
      </c>
      <c r="D335" s="40" t="s">
        <v>538</v>
      </c>
      <c r="E335" s="40" t="s">
        <v>48</v>
      </c>
      <c r="F335" s="40" t="s">
        <v>555</v>
      </c>
      <c r="G335" s="40" t="s">
        <v>556</v>
      </c>
      <c r="H335" s="40" t="s">
        <v>540</v>
      </c>
      <c r="I335" s="40"/>
      <c r="J335" s="40" t="s">
        <v>533</v>
      </c>
      <c r="K335" s="40" t="s">
        <v>557</v>
      </c>
      <c r="L335" s="40" t="s">
        <v>543</v>
      </c>
    </row>
    <row r="336" customFormat="false" ht="28.5" hidden="false" customHeight="true" outlineLevel="0" collapsed="false">
      <c r="A336" s="40" t="s">
        <v>93</v>
      </c>
      <c r="B336" s="40" t="s">
        <v>536</v>
      </c>
      <c r="C336" s="41" t="s">
        <v>559</v>
      </c>
      <c r="D336" s="40" t="s">
        <v>538</v>
      </c>
      <c r="E336" s="40" t="s">
        <v>49</v>
      </c>
      <c r="F336" s="40" t="s">
        <v>555</v>
      </c>
      <c r="G336" s="40" t="s">
        <v>556</v>
      </c>
      <c r="H336" s="40" t="s">
        <v>540</v>
      </c>
      <c r="I336" s="40"/>
      <c r="J336" s="40" t="s">
        <v>533</v>
      </c>
      <c r="K336" s="40" t="s">
        <v>557</v>
      </c>
      <c r="L336" s="40" t="s">
        <v>543</v>
      </c>
    </row>
    <row r="337" customFormat="false" ht="28.5" hidden="false" customHeight="true" outlineLevel="0" collapsed="false">
      <c r="A337" s="40" t="s">
        <v>93</v>
      </c>
      <c r="B337" s="40" t="s">
        <v>536</v>
      </c>
      <c r="C337" s="41" t="s">
        <v>559</v>
      </c>
      <c r="D337" s="40" t="s">
        <v>538</v>
      </c>
      <c r="E337" s="40" t="s">
        <v>50</v>
      </c>
      <c r="F337" s="40" t="s">
        <v>555</v>
      </c>
      <c r="G337" s="40" t="s">
        <v>556</v>
      </c>
      <c r="H337" s="40" t="s">
        <v>540</v>
      </c>
      <c r="I337" s="40"/>
      <c r="J337" s="40" t="s">
        <v>533</v>
      </c>
      <c r="K337" s="40" t="s">
        <v>557</v>
      </c>
      <c r="L337" s="40" t="s">
        <v>543</v>
      </c>
    </row>
    <row r="338" customFormat="false" ht="28.5" hidden="false" customHeight="true" outlineLevel="0" collapsed="false">
      <c r="A338" s="40" t="s">
        <v>93</v>
      </c>
      <c r="B338" s="40" t="s">
        <v>536</v>
      </c>
      <c r="C338" s="41" t="s">
        <v>559</v>
      </c>
      <c r="D338" s="40" t="s">
        <v>538</v>
      </c>
      <c r="E338" s="40" t="s">
        <v>51</v>
      </c>
      <c r="F338" s="40" t="s">
        <v>555</v>
      </c>
      <c r="G338" s="40" t="s">
        <v>556</v>
      </c>
      <c r="H338" s="40" t="s">
        <v>540</v>
      </c>
      <c r="I338" s="40"/>
      <c r="J338" s="40" t="s">
        <v>533</v>
      </c>
      <c r="K338" s="40" t="s">
        <v>557</v>
      </c>
      <c r="L338" s="40" t="s">
        <v>543</v>
      </c>
    </row>
    <row r="339" customFormat="false" ht="28.5" hidden="false" customHeight="true" outlineLevel="0" collapsed="false">
      <c r="A339" s="40" t="s">
        <v>93</v>
      </c>
      <c r="B339" s="40" t="s">
        <v>536</v>
      </c>
      <c r="C339" s="41" t="s">
        <v>559</v>
      </c>
      <c r="D339" s="40" t="s">
        <v>538</v>
      </c>
      <c r="E339" s="40" t="s">
        <v>52</v>
      </c>
      <c r="F339" s="40" t="s">
        <v>555</v>
      </c>
      <c r="G339" s="40" t="s">
        <v>556</v>
      </c>
      <c r="H339" s="40" t="s">
        <v>540</v>
      </c>
      <c r="I339" s="40"/>
      <c r="J339" s="40" t="s">
        <v>533</v>
      </c>
      <c r="K339" s="40" t="s">
        <v>557</v>
      </c>
      <c r="L339" s="40" t="s">
        <v>543</v>
      </c>
    </row>
    <row r="340" customFormat="false" ht="28.5" hidden="false" customHeight="true" outlineLevel="0" collapsed="false">
      <c r="A340" s="40" t="s">
        <v>93</v>
      </c>
      <c r="B340" s="40" t="s">
        <v>536</v>
      </c>
      <c r="C340" s="41" t="s">
        <v>559</v>
      </c>
      <c r="D340" s="40" t="s">
        <v>538</v>
      </c>
      <c r="E340" s="40" t="s">
        <v>53</v>
      </c>
      <c r="F340" s="40" t="s">
        <v>555</v>
      </c>
      <c r="G340" s="40" t="s">
        <v>556</v>
      </c>
      <c r="H340" s="40" t="s">
        <v>540</v>
      </c>
      <c r="I340" s="40"/>
      <c r="J340" s="40" t="s">
        <v>533</v>
      </c>
      <c r="K340" s="40" t="s">
        <v>557</v>
      </c>
      <c r="L340" s="40" t="s">
        <v>543</v>
      </c>
    </row>
    <row r="341" customFormat="false" ht="26.25" hidden="false" customHeight="true" outlineLevel="0" collapsed="false">
      <c r="A341" s="40" t="s">
        <v>103</v>
      </c>
      <c r="B341" s="40" t="s">
        <v>536</v>
      </c>
      <c r="C341" s="40" t="s">
        <v>445</v>
      </c>
      <c r="D341" s="40" t="s">
        <v>538</v>
      </c>
      <c r="E341" s="40" t="s">
        <v>37</v>
      </c>
      <c r="F341" s="40" t="s">
        <v>245</v>
      </c>
      <c r="G341" s="40" t="s">
        <v>246</v>
      </c>
      <c r="H341" s="40" t="s">
        <v>540</v>
      </c>
      <c r="I341" s="40" t="s">
        <v>248</v>
      </c>
      <c r="J341" s="40" t="s">
        <v>533</v>
      </c>
      <c r="K341" s="40" t="s">
        <v>560</v>
      </c>
      <c r="L341" s="40" t="s">
        <v>543</v>
      </c>
    </row>
    <row r="342" customFormat="false" ht="26.25" hidden="false" customHeight="true" outlineLevel="0" collapsed="false">
      <c r="A342" s="40" t="s">
        <v>103</v>
      </c>
      <c r="B342" s="40" t="s">
        <v>536</v>
      </c>
      <c r="C342" s="40" t="s">
        <v>447</v>
      </c>
      <c r="D342" s="40" t="s">
        <v>538</v>
      </c>
      <c r="E342" s="40" t="s">
        <v>37</v>
      </c>
      <c r="F342" s="40" t="s">
        <v>245</v>
      </c>
      <c r="G342" s="40" t="s">
        <v>246</v>
      </c>
      <c r="H342" s="40" t="s">
        <v>540</v>
      </c>
      <c r="I342" s="40" t="s">
        <v>248</v>
      </c>
      <c r="J342" s="40" t="s">
        <v>533</v>
      </c>
      <c r="K342" s="40" t="s">
        <v>560</v>
      </c>
      <c r="L342" s="40" t="s">
        <v>543</v>
      </c>
    </row>
    <row r="343" customFormat="false" ht="26.25" hidden="false" customHeight="true" outlineLevel="0" collapsed="false">
      <c r="A343" s="40" t="s">
        <v>103</v>
      </c>
      <c r="B343" s="40" t="s">
        <v>536</v>
      </c>
      <c r="C343" s="40" t="s">
        <v>445</v>
      </c>
      <c r="D343" s="40" t="s">
        <v>538</v>
      </c>
      <c r="E343" s="40" t="s">
        <v>38</v>
      </c>
      <c r="F343" s="40" t="s">
        <v>254</v>
      </c>
      <c r="G343" s="40" t="s">
        <v>186</v>
      </c>
      <c r="H343" s="40" t="s">
        <v>540</v>
      </c>
      <c r="I343" s="40" t="s">
        <v>255</v>
      </c>
      <c r="J343" s="40" t="s">
        <v>533</v>
      </c>
      <c r="K343" s="40" t="s">
        <v>560</v>
      </c>
      <c r="L343" s="40" t="s">
        <v>543</v>
      </c>
    </row>
    <row r="344" customFormat="false" ht="26.25" hidden="false" customHeight="true" outlineLevel="0" collapsed="false">
      <c r="A344" s="40" t="s">
        <v>103</v>
      </c>
      <c r="B344" s="40" t="s">
        <v>536</v>
      </c>
      <c r="C344" s="40" t="s">
        <v>447</v>
      </c>
      <c r="D344" s="40" t="s">
        <v>538</v>
      </c>
      <c r="E344" s="40" t="s">
        <v>38</v>
      </c>
      <c r="F344" s="40" t="s">
        <v>254</v>
      </c>
      <c r="G344" s="40" t="s">
        <v>186</v>
      </c>
      <c r="H344" s="40" t="s">
        <v>540</v>
      </c>
      <c r="I344" s="40" t="s">
        <v>255</v>
      </c>
      <c r="J344" s="40" t="s">
        <v>533</v>
      </c>
      <c r="K344" s="40" t="s">
        <v>560</v>
      </c>
      <c r="L344" s="40" t="s">
        <v>543</v>
      </c>
    </row>
    <row r="345" customFormat="false" ht="26.25" hidden="false" customHeight="true" outlineLevel="0" collapsed="false">
      <c r="A345" s="40" t="s">
        <v>103</v>
      </c>
      <c r="B345" s="40" t="s">
        <v>536</v>
      </c>
      <c r="C345" s="40" t="s">
        <v>445</v>
      </c>
      <c r="D345" s="40" t="s">
        <v>538</v>
      </c>
      <c r="E345" s="40" t="s">
        <v>39</v>
      </c>
      <c r="F345" s="41" t="s">
        <v>257</v>
      </c>
      <c r="G345" s="40" t="s">
        <v>194</v>
      </c>
      <c r="H345" s="40" t="s">
        <v>540</v>
      </c>
      <c r="I345" s="40" t="s">
        <v>258</v>
      </c>
      <c r="J345" s="40" t="s">
        <v>533</v>
      </c>
      <c r="K345" s="40" t="s">
        <v>560</v>
      </c>
      <c r="L345" s="40" t="s">
        <v>543</v>
      </c>
    </row>
    <row r="346" customFormat="false" ht="26.25" hidden="false" customHeight="true" outlineLevel="0" collapsed="false">
      <c r="A346" s="40" t="s">
        <v>103</v>
      </c>
      <c r="B346" s="40" t="s">
        <v>536</v>
      </c>
      <c r="C346" s="40" t="s">
        <v>447</v>
      </c>
      <c r="D346" s="40" t="s">
        <v>538</v>
      </c>
      <c r="E346" s="40" t="s">
        <v>39</v>
      </c>
      <c r="F346" s="41" t="s">
        <v>257</v>
      </c>
      <c r="G346" s="40" t="s">
        <v>194</v>
      </c>
      <c r="H346" s="40" t="s">
        <v>540</v>
      </c>
      <c r="I346" s="40" t="s">
        <v>258</v>
      </c>
      <c r="J346" s="40" t="s">
        <v>533</v>
      </c>
      <c r="K346" s="40" t="s">
        <v>560</v>
      </c>
      <c r="L346" s="40" t="s">
        <v>543</v>
      </c>
    </row>
    <row r="347" customFormat="false" ht="15.75" hidden="false" customHeight="true" outlineLevel="0" collapsed="false">
      <c r="A347" s="1" t="s">
        <v>86</v>
      </c>
      <c r="B347" s="1" t="s">
        <v>561</v>
      </c>
      <c r="C347" s="1" t="s">
        <v>244</v>
      </c>
      <c r="D347" s="1" t="s">
        <v>562</v>
      </c>
      <c r="E347" s="1" t="s">
        <v>57</v>
      </c>
      <c r="F347" s="1" t="s">
        <v>563</v>
      </c>
      <c r="G347" s="1" t="s">
        <v>18</v>
      </c>
      <c r="H347" s="1" t="s">
        <v>564</v>
      </c>
      <c r="I347" s="1" t="s">
        <v>565</v>
      </c>
      <c r="J347" s="1" t="s">
        <v>249</v>
      </c>
      <c r="K347" s="1" t="s">
        <v>566</v>
      </c>
      <c r="L347" s="1" t="s">
        <v>191</v>
      </c>
    </row>
    <row r="348" customFormat="false" ht="15.75" hidden="false" customHeight="true" outlineLevel="0" collapsed="false">
      <c r="A348" s="1" t="s">
        <v>86</v>
      </c>
      <c r="B348" s="1" t="s">
        <v>567</v>
      </c>
      <c r="C348" s="1" t="s">
        <v>252</v>
      </c>
      <c r="D348" s="1" t="s">
        <v>562</v>
      </c>
      <c r="E348" s="1" t="s">
        <v>57</v>
      </c>
      <c r="F348" s="1" t="s">
        <v>563</v>
      </c>
      <c r="G348" s="1" t="s">
        <v>18</v>
      </c>
      <c r="H348" s="1" t="s">
        <v>564</v>
      </c>
      <c r="I348" s="1" t="s">
        <v>565</v>
      </c>
      <c r="J348" s="1" t="s">
        <v>8</v>
      </c>
      <c r="K348" s="1" t="s">
        <v>566</v>
      </c>
      <c r="L348" s="1" t="s">
        <v>191</v>
      </c>
    </row>
    <row r="349" customFormat="false" ht="15.75" hidden="false" customHeight="true" outlineLevel="0" collapsed="false">
      <c r="A349" s="1" t="s">
        <v>86</v>
      </c>
      <c r="B349" s="1" t="s">
        <v>568</v>
      </c>
      <c r="C349" s="1" t="s">
        <v>312</v>
      </c>
      <c r="D349" s="1" t="s">
        <v>562</v>
      </c>
      <c r="E349" s="1" t="s">
        <v>57</v>
      </c>
      <c r="F349" s="1" t="s">
        <v>563</v>
      </c>
      <c r="G349" s="1" t="s">
        <v>18</v>
      </c>
      <c r="H349" s="1" t="s">
        <v>564</v>
      </c>
      <c r="I349" s="1" t="s">
        <v>565</v>
      </c>
      <c r="J349" s="1" t="s">
        <v>249</v>
      </c>
      <c r="K349" s="1" t="s">
        <v>566</v>
      </c>
      <c r="L349" s="1" t="s">
        <v>191</v>
      </c>
    </row>
    <row r="350" customFormat="false" ht="15.75" hidden="false" customHeight="true" outlineLevel="0" collapsed="false">
      <c r="A350" s="1" t="s">
        <v>86</v>
      </c>
      <c r="B350" s="1" t="s">
        <v>569</v>
      </c>
      <c r="C350" s="1" t="s">
        <v>314</v>
      </c>
      <c r="D350" s="1" t="s">
        <v>562</v>
      </c>
      <c r="E350" s="1" t="s">
        <v>57</v>
      </c>
      <c r="F350" s="1" t="s">
        <v>563</v>
      </c>
      <c r="G350" s="1" t="s">
        <v>18</v>
      </c>
      <c r="H350" s="1" t="s">
        <v>564</v>
      </c>
      <c r="I350" s="1" t="s">
        <v>565</v>
      </c>
      <c r="J350" s="1" t="s">
        <v>8</v>
      </c>
      <c r="K350" s="1" t="s">
        <v>566</v>
      </c>
      <c r="L350" s="1" t="s">
        <v>191</v>
      </c>
    </row>
    <row r="351" customFormat="false" ht="15.75" hidden="false" customHeight="true" outlineLevel="0" collapsed="false">
      <c r="A351" s="1" t="s">
        <v>86</v>
      </c>
      <c r="B351" s="1" t="s">
        <v>570</v>
      </c>
      <c r="C351" s="1" t="s">
        <v>348</v>
      </c>
      <c r="D351" s="1" t="s">
        <v>562</v>
      </c>
      <c r="E351" s="1" t="s">
        <v>57</v>
      </c>
      <c r="F351" s="1" t="s">
        <v>563</v>
      </c>
      <c r="G351" s="1" t="s">
        <v>18</v>
      </c>
      <c r="H351" s="1" t="s">
        <v>564</v>
      </c>
      <c r="I351" s="1" t="s">
        <v>565</v>
      </c>
      <c r="J351" s="1" t="s">
        <v>249</v>
      </c>
      <c r="K351" s="1" t="s">
        <v>566</v>
      </c>
      <c r="L351" s="1" t="s">
        <v>191</v>
      </c>
    </row>
    <row r="352" customFormat="false" ht="15.75" hidden="false" customHeight="true" outlineLevel="0" collapsed="false">
      <c r="A352" s="1" t="s">
        <v>86</v>
      </c>
      <c r="B352" s="1" t="s">
        <v>571</v>
      </c>
      <c r="C352" s="1" t="s">
        <v>350</v>
      </c>
      <c r="D352" s="1" t="s">
        <v>562</v>
      </c>
      <c r="E352" s="1" t="s">
        <v>57</v>
      </c>
      <c r="F352" s="1" t="s">
        <v>563</v>
      </c>
      <c r="G352" s="1" t="s">
        <v>18</v>
      </c>
      <c r="H352" s="1" t="s">
        <v>564</v>
      </c>
      <c r="I352" s="1" t="s">
        <v>565</v>
      </c>
      <c r="J352" s="1" t="s">
        <v>8</v>
      </c>
      <c r="K352" s="1" t="s">
        <v>566</v>
      </c>
      <c r="L352" s="1" t="s">
        <v>191</v>
      </c>
    </row>
    <row r="353" customFormat="false" ht="15.75" hidden="false" customHeight="true" outlineLevel="0" collapsed="false">
      <c r="A353" s="1" t="s">
        <v>460</v>
      </c>
      <c r="B353" s="1" t="s">
        <v>561</v>
      </c>
      <c r="C353" s="1" t="s">
        <v>461</v>
      </c>
      <c r="D353" s="1" t="s">
        <v>562</v>
      </c>
      <c r="E353" s="1" t="s">
        <v>57</v>
      </c>
      <c r="F353" s="1" t="s">
        <v>572</v>
      </c>
      <c r="G353" s="1" t="s">
        <v>18</v>
      </c>
      <c r="H353" s="1" t="s">
        <v>564</v>
      </c>
      <c r="I353" s="1" t="s">
        <v>573</v>
      </c>
      <c r="J353" s="1" t="s">
        <v>8</v>
      </c>
      <c r="K353" s="1" t="s">
        <v>574</v>
      </c>
      <c r="L353" s="1" t="s">
        <v>191</v>
      </c>
    </row>
    <row r="354" customFormat="false" ht="15.75" hidden="false" customHeight="true" outlineLevel="0" collapsed="false">
      <c r="A354" s="1" t="s">
        <v>460</v>
      </c>
      <c r="B354" s="1" t="s">
        <v>575</v>
      </c>
      <c r="C354" s="1" t="s">
        <v>464</v>
      </c>
      <c r="D354" s="1" t="s">
        <v>562</v>
      </c>
      <c r="E354" s="1" t="s">
        <v>57</v>
      </c>
      <c r="F354" s="1" t="s">
        <v>572</v>
      </c>
      <c r="G354" s="1" t="s">
        <v>18</v>
      </c>
      <c r="H354" s="1" t="s">
        <v>564</v>
      </c>
      <c r="I354" s="1" t="s">
        <v>573</v>
      </c>
      <c r="J354" s="1" t="s">
        <v>8</v>
      </c>
      <c r="K354" s="1" t="s">
        <v>574</v>
      </c>
      <c r="L354" s="1" t="s">
        <v>191</v>
      </c>
    </row>
    <row r="355" customFormat="false" ht="15.75" hidden="false" customHeight="true" outlineLevel="0" collapsed="false">
      <c r="A355" s="1" t="s">
        <v>460</v>
      </c>
      <c r="B355" s="1" t="s">
        <v>576</v>
      </c>
      <c r="C355" s="1" t="s">
        <v>466</v>
      </c>
      <c r="D355" s="1" t="s">
        <v>562</v>
      </c>
      <c r="E355" s="1" t="s">
        <v>57</v>
      </c>
      <c r="F355" s="1" t="s">
        <v>572</v>
      </c>
      <c r="G355" s="1" t="s">
        <v>18</v>
      </c>
      <c r="H355" s="1" t="s">
        <v>564</v>
      </c>
      <c r="I355" s="1" t="s">
        <v>573</v>
      </c>
      <c r="J355" s="1" t="s">
        <v>8</v>
      </c>
      <c r="K355" s="1" t="s">
        <v>574</v>
      </c>
      <c r="L355" s="1" t="s">
        <v>191</v>
      </c>
    </row>
    <row r="356" customFormat="false" ht="15.75" hidden="false" customHeight="true" outlineLevel="0" collapsed="false">
      <c r="A356" s="1" t="s">
        <v>460</v>
      </c>
      <c r="B356" s="1" t="s">
        <v>568</v>
      </c>
      <c r="C356" s="1" t="s">
        <v>467</v>
      </c>
      <c r="D356" s="1" t="s">
        <v>562</v>
      </c>
      <c r="E356" s="1" t="s">
        <v>57</v>
      </c>
      <c r="F356" s="1" t="s">
        <v>572</v>
      </c>
      <c r="G356" s="1" t="s">
        <v>18</v>
      </c>
      <c r="H356" s="1" t="s">
        <v>564</v>
      </c>
      <c r="I356" s="1" t="s">
        <v>573</v>
      </c>
      <c r="J356" s="1" t="s">
        <v>8</v>
      </c>
      <c r="K356" s="1" t="s">
        <v>574</v>
      </c>
      <c r="L356" s="1" t="s">
        <v>191</v>
      </c>
    </row>
    <row r="357" customFormat="false" ht="15.75" hidden="false" customHeight="true" outlineLevel="0" collapsed="false">
      <c r="A357" s="1" t="s">
        <v>133</v>
      </c>
      <c r="B357" s="1" t="s">
        <v>577</v>
      </c>
      <c r="C357" s="1" t="s">
        <v>514</v>
      </c>
      <c r="D357" s="1" t="s">
        <v>562</v>
      </c>
      <c r="E357" s="1" t="s">
        <v>57</v>
      </c>
      <c r="F357" s="1" t="s">
        <v>572</v>
      </c>
      <c r="G357" s="1" t="s">
        <v>18</v>
      </c>
      <c r="H357" s="1" t="s">
        <v>564</v>
      </c>
      <c r="I357" s="1" t="s">
        <v>573</v>
      </c>
      <c r="J357" s="1" t="s">
        <v>8</v>
      </c>
      <c r="K357" s="1" t="s">
        <v>574</v>
      </c>
      <c r="L357" s="1" t="s">
        <v>191</v>
      </c>
    </row>
    <row r="358" customFormat="false" ht="15.75" hidden="false" customHeight="true" outlineLevel="0" collapsed="false">
      <c r="A358" s="1" t="s">
        <v>133</v>
      </c>
      <c r="B358" s="1" t="s">
        <v>561</v>
      </c>
      <c r="C358" s="1" t="s">
        <v>136</v>
      </c>
      <c r="D358" s="1" t="s">
        <v>562</v>
      </c>
      <c r="E358" s="1" t="s">
        <v>57</v>
      </c>
      <c r="F358" s="1" t="s">
        <v>572</v>
      </c>
      <c r="G358" s="1" t="s">
        <v>18</v>
      </c>
      <c r="H358" s="1" t="s">
        <v>564</v>
      </c>
      <c r="I358" s="1" t="s">
        <v>573</v>
      </c>
      <c r="J358" s="1" t="s">
        <v>8</v>
      </c>
      <c r="K358" s="1" t="s">
        <v>574</v>
      </c>
      <c r="L358" s="1" t="s">
        <v>191</v>
      </c>
    </row>
  </sheetData>
  <autoFilter ref="A4:L346"/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47.31"/>
    <col collapsed="false" customWidth="true" hidden="false" outlineLevel="0" max="4" min="2" style="1" width="20.01"/>
    <col collapsed="false" customWidth="true" hidden="false" outlineLevel="0" max="5" min="5" style="1" width="67.33"/>
    <col collapsed="false" customWidth="true" hidden="false" outlineLevel="0" max="6" min="6" style="1" width="25.47"/>
  </cols>
  <sheetData>
    <row r="1" customFormat="false" ht="18" hidden="false" customHeight="true" outlineLevel="0" collapsed="false">
      <c r="A1" s="13" t="s">
        <v>578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customFormat="false" ht="15" hidden="false" customHeight="true" outlineLevel="0" collapsed="false">
      <c r="A2" s="3" t="s">
        <v>579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4" customFormat="false" ht="15" hidden="false" customHeight="true" outlineLevel="0" collapsed="false">
      <c r="A4" s="37" t="s">
        <v>580</v>
      </c>
      <c r="B4" s="37" t="s">
        <v>581</v>
      </c>
      <c r="C4" s="37" t="s">
        <v>582</v>
      </c>
      <c r="D4" s="37" t="s">
        <v>149</v>
      </c>
      <c r="E4" s="37" t="s">
        <v>583</v>
      </c>
      <c r="F4" s="37" t="s">
        <v>584</v>
      </c>
    </row>
    <row r="5" customFormat="false" ht="15" hidden="false" customHeight="true" outlineLevel="0" collapsed="false">
      <c r="A5" s="18" t="s">
        <v>585</v>
      </c>
      <c r="B5" s="28" t="n">
        <f aca="false">IF(AND(Assumptions!B4="2018A",Assumptions!I4="2025A",Assumptions!J4="2024Q1A",Assumptions!R4="2026Q1A",Assumptions!S4="2026E",Assumptions!U4="2028E",Assumptions!V4="2026Q2A",Assumptions!W4="2026Q3E",Assumptions!AB4="2027Q4E"),0,1)</f>
        <v>0</v>
      </c>
      <c r="C5" s="27" t="n">
        <v>0</v>
      </c>
      <c r="D5" s="42" t="str">
        <f aca="false">IF(B5=C5,"OK","ERROR")</f>
        <v>OK</v>
      </c>
      <c r="E5" s="27" t="s">
        <v>586</v>
      </c>
      <c r="F5" s="19"/>
    </row>
    <row r="6" customFormat="false" ht="15" hidden="false" customHeight="true" outlineLevel="0" collapsed="false">
      <c r="A6" s="18" t="s">
        <v>587</v>
      </c>
      <c r="B6" s="33" t="n">
        <f aca="false">'Consol P&amp;L'!B7</f>
        <v>0</v>
      </c>
      <c r="C6" s="27" t="n">
        <v>0.01</v>
      </c>
      <c r="D6" s="42" t="str">
        <f aca="false">IF(ABS(B6)&lt;=C6,"OK","ERROR")</f>
        <v>OK</v>
      </c>
      <c r="E6" s="27" t="s">
        <v>588</v>
      </c>
      <c r="F6" s="19"/>
    </row>
    <row r="7" customFormat="false" ht="15" hidden="false" customHeight="true" outlineLevel="0" collapsed="false">
      <c r="A7" s="18" t="s">
        <v>589</v>
      </c>
      <c r="B7" s="33" t="n">
        <f aca="false">'Consol P&amp;L'!B10</f>
        <v>0</v>
      </c>
      <c r="C7" s="27" t="n">
        <v>0.01</v>
      </c>
      <c r="D7" s="42" t="str">
        <f aca="false">IF(ABS(B7)&lt;=C7,"OK","ERROR")</f>
        <v>OK</v>
      </c>
      <c r="E7" s="27" t="s">
        <v>588</v>
      </c>
      <c r="F7" s="19"/>
    </row>
    <row r="8" customFormat="false" ht="15" hidden="false" customHeight="true" outlineLevel="0" collapsed="false">
      <c r="A8" s="18" t="s">
        <v>590</v>
      </c>
      <c r="B8" s="33" t="n">
        <f aca="false">'Consol P&amp;L'!C7</f>
        <v>0</v>
      </c>
      <c r="C8" s="27" t="n">
        <v>0.01</v>
      </c>
      <c r="D8" s="42" t="str">
        <f aca="false">IF(ABS(B8)&lt;=C8,"OK","ERROR")</f>
        <v>OK</v>
      </c>
      <c r="E8" s="27" t="s">
        <v>588</v>
      </c>
      <c r="F8" s="19"/>
    </row>
    <row r="9" customFormat="false" ht="15" hidden="false" customHeight="true" outlineLevel="0" collapsed="false">
      <c r="A9" s="18" t="s">
        <v>591</v>
      </c>
      <c r="B9" s="33" t="n">
        <f aca="false">'Consol P&amp;L'!C10</f>
        <v>0</v>
      </c>
      <c r="C9" s="27" t="n">
        <v>0.01</v>
      </c>
      <c r="D9" s="42" t="str">
        <f aca="false">IF(ABS(B9)&lt;=C9,"OK","ERROR")</f>
        <v>OK</v>
      </c>
      <c r="E9" s="27" t="s">
        <v>588</v>
      </c>
      <c r="F9" s="19"/>
    </row>
    <row r="10" customFormat="false" ht="15" hidden="false" customHeight="true" outlineLevel="0" collapsed="false">
      <c r="A10" s="18" t="s">
        <v>592</v>
      </c>
      <c r="B10" s="33" t="n">
        <f aca="false">'Consol P&amp;L'!D7</f>
        <v>0</v>
      </c>
      <c r="C10" s="27" t="n">
        <v>0.01</v>
      </c>
      <c r="D10" s="42" t="str">
        <f aca="false">IF(ABS(B10)&lt;=C10,"OK","ERROR")</f>
        <v>OK</v>
      </c>
      <c r="E10" s="27" t="s">
        <v>588</v>
      </c>
      <c r="F10" s="19"/>
    </row>
    <row r="11" customFormat="false" ht="15" hidden="false" customHeight="true" outlineLevel="0" collapsed="false">
      <c r="A11" s="18" t="s">
        <v>593</v>
      </c>
      <c r="B11" s="33" t="n">
        <f aca="false">'Consol P&amp;L'!D10</f>
        <v>0</v>
      </c>
      <c r="C11" s="27" t="n">
        <v>0.01</v>
      </c>
      <c r="D11" s="42" t="str">
        <f aca="false">IF(ABS(B11)&lt;=C11,"OK","ERROR")</f>
        <v>OK</v>
      </c>
      <c r="E11" s="27" t="s">
        <v>588</v>
      </c>
      <c r="F11" s="19"/>
    </row>
    <row r="12" customFormat="false" ht="15" hidden="false" customHeight="true" outlineLevel="0" collapsed="false">
      <c r="A12" s="18" t="s">
        <v>594</v>
      </c>
      <c r="B12" s="33" t="n">
        <f aca="false">'Consol P&amp;L'!E7</f>
        <v>0</v>
      </c>
      <c r="C12" s="27" t="n">
        <v>0.01</v>
      </c>
      <c r="D12" s="42" t="str">
        <f aca="false">IF(ABS(B12)&lt;=C12,"OK","ERROR")</f>
        <v>OK</v>
      </c>
      <c r="E12" s="27" t="s">
        <v>588</v>
      </c>
      <c r="F12" s="19"/>
    </row>
    <row r="13" customFormat="false" ht="15" hidden="false" customHeight="true" outlineLevel="0" collapsed="false">
      <c r="A13" s="18" t="s">
        <v>595</v>
      </c>
      <c r="B13" s="33" t="n">
        <f aca="false">'Consol P&amp;L'!E10</f>
        <v>0</v>
      </c>
      <c r="C13" s="27" t="n">
        <v>0.01</v>
      </c>
      <c r="D13" s="42" t="str">
        <f aca="false">IF(ABS(B13)&lt;=C13,"OK","ERROR")</f>
        <v>OK</v>
      </c>
      <c r="E13" s="27" t="s">
        <v>588</v>
      </c>
      <c r="F13" s="19"/>
    </row>
    <row r="14" customFormat="false" ht="15" hidden="false" customHeight="true" outlineLevel="0" collapsed="false">
      <c r="A14" s="18" t="s">
        <v>596</v>
      </c>
      <c r="B14" s="33" t="n">
        <f aca="false">'Consol P&amp;L'!F7</f>
        <v>0</v>
      </c>
      <c r="C14" s="27" t="n">
        <v>0.01</v>
      </c>
      <c r="D14" s="42" t="str">
        <f aca="false">IF(ABS(B14)&lt;=C14,"OK","ERROR")</f>
        <v>OK</v>
      </c>
      <c r="E14" s="27" t="s">
        <v>588</v>
      </c>
      <c r="F14" s="19"/>
    </row>
    <row r="15" customFormat="false" ht="15" hidden="false" customHeight="true" outlineLevel="0" collapsed="false">
      <c r="A15" s="18" t="s">
        <v>597</v>
      </c>
      <c r="B15" s="33" t="n">
        <f aca="false">'Consol P&amp;L'!F10</f>
        <v>0</v>
      </c>
      <c r="C15" s="27" t="n">
        <v>0.01</v>
      </c>
      <c r="D15" s="42" t="str">
        <f aca="false">IF(ABS(B15)&lt;=C15,"OK","ERROR")</f>
        <v>OK</v>
      </c>
      <c r="E15" s="27" t="s">
        <v>588</v>
      </c>
      <c r="F15" s="19"/>
    </row>
    <row r="16" customFormat="false" ht="15" hidden="false" customHeight="true" outlineLevel="0" collapsed="false">
      <c r="A16" s="18" t="s">
        <v>598</v>
      </c>
      <c r="B16" s="33" t="n">
        <f aca="false">'Consol P&amp;L'!G7</f>
        <v>0</v>
      </c>
      <c r="C16" s="27" t="n">
        <v>0.01</v>
      </c>
      <c r="D16" s="42" t="str">
        <f aca="false">IF(ABS(B16)&lt;=C16,"OK","ERROR")</f>
        <v>OK</v>
      </c>
      <c r="E16" s="27" t="s">
        <v>588</v>
      </c>
      <c r="F16" s="19"/>
    </row>
    <row r="17" customFormat="false" ht="15" hidden="false" customHeight="true" outlineLevel="0" collapsed="false">
      <c r="A17" s="18" t="s">
        <v>599</v>
      </c>
      <c r="B17" s="33" t="n">
        <f aca="false">'Consol P&amp;L'!G10</f>
        <v>0</v>
      </c>
      <c r="C17" s="27" t="n">
        <v>0.01</v>
      </c>
      <c r="D17" s="42" t="str">
        <f aca="false">IF(ABS(B17)&lt;=C17,"OK","ERROR")</f>
        <v>OK</v>
      </c>
      <c r="E17" s="27" t="s">
        <v>588</v>
      </c>
      <c r="F17" s="19"/>
    </row>
    <row r="18" customFormat="false" ht="15" hidden="false" customHeight="true" outlineLevel="0" collapsed="false">
      <c r="A18" s="18" t="s">
        <v>600</v>
      </c>
      <c r="B18" s="33" t="n">
        <f aca="false">'Consol P&amp;L'!H7</f>
        <v>0</v>
      </c>
      <c r="C18" s="27" t="n">
        <v>0.01</v>
      </c>
      <c r="D18" s="42" t="str">
        <f aca="false">IF(ABS(B18)&lt;=C18,"OK","ERROR")</f>
        <v>OK</v>
      </c>
      <c r="E18" s="27" t="s">
        <v>588</v>
      </c>
      <c r="F18" s="19"/>
    </row>
    <row r="19" customFormat="false" ht="15" hidden="false" customHeight="true" outlineLevel="0" collapsed="false">
      <c r="A19" s="18" t="s">
        <v>601</v>
      </c>
      <c r="B19" s="33" t="n">
        <f aca="false">'Consol P&amp;L'!H10</f>
        <v>0</v>
      </c>
      <c r="C19" s="27" t="n">
        <v>0.01</v>
      </c>
      <c r="D19" s="42" t="str">
        <f aca="false">IF(ABS(B19)&lt;=C19,"OK","ERROR")</f>
        <v>OK</v>
      </c>
      <c r="E19" s="27" t="s">
        <v>588</v>
      </c>
      <c r="F19" s="19"/>
    </row>
    <row r="20" customFormat="false" ht="15" hidden="false" customHeight="true" outlineLevel="0" collapsed="false">
      <c r="A20" s="18" t="s">
        <v>602</v>
      </c>
      <c r="B20" s="33" t="n">
        <f aca="false">'Consol P&amp;L'!I7</f>
        <v>0</v>
      </c>
      <c r="C20" s="27" t="n">
        <v>0.01</v>
      </c>
      <c r="D20" s="42" t="str">
        <f aca="false">IF(ABS(B20)&lt;=C20,"OK","ERROR")</f>
        <v>OK</v>
      </c>
      <c r="E20" s="27" t="s">
        <v>588</v>
      </c>
      <c r="F20" s="19"/>
    </row>
    <row r="21" customFormat="false" ht="15" hidden="false" customHeight="true" outlineLevel="0" collapsed="false">
      <c r="A21" s="18" t="s">
        <v>603</v>
      </c>
      <c r="B21" s="33" t="n">
        <f aca="false">'Consol P&amp;L'!I10</f>
        <v>0</v>
      </c>
      <c r="C21" s="27" t="n">
        <v>0.01</v>
      </c>
      <c r="D21" s="42" t="str">
        <f aca="false">IF(ABS(B21)&lt;=C21,"OK","ERROR")</f>
        <v>OK</v>
      </c>
      <c r="E21" s="27" t="s">
        <v>588</v>
      </c>
      <c r="F21" s="19"/>
    </row>
    <row r="22" customFormat="false" ht="15" hidden="false" customHeight="true" outlineLevel="0" collapsed="false">
      <c r="A22" s="18" t="s">
        <v>604</v>
      </c>
      <c r="B22" s="33" t="n">
        <f aca="false">'Consol P&amp;L'!J7</f>
        <v>0</v>
      </c>
      <c r="C22" s="27" t="n">
        <v>0.01</v>
      </c>
      <c r="D22" s="42" t="str">
        <f aca="false">IF(ABS(B22)&lt;=C22,"OK","ERROR")</f>
        <v>OK</v>
      </c>
      <c r="E22" s="27" t="s">
        <v>588</v>
      </c>
      <c r="F22" s="19"/>
    </row>
    <row r="23" customFormat="false" ht="15" hidden="false" customHeight="true" outlineLevel="0" collapsed="false">
      <c r="A23" s="18" t="s">
        <v>605</v>
      </c>
      <c r="B23" s="33" t="n">
        <f aca="false">'Consol P&amp;L'!J10</f>
        <v>0</v>
      </c>
      <c r="C23" s="27" t="n">
        <v>0.01</v>
      </c>
      <c r="D23" s="42" t="str">
        <f aca="false">IF(ABS(B23)&lt;=C23,"OK","ERROR")</f>
        <v>OK</v>
      </c>
      <c r="E23" s="27" t="s">
        <v>588</v>
      </c>
      <c r="F23" s="19"/>
    </row>
    <row r="24" customFormat="false" ht="15" hidden="false" customHeight="true" outlineLevel="0" collapsed="false">
      <c r="A24" s="18" t="s">
        <v>606</v>
      </c>
      <c r="B24" s="33" t="n">
        <f aca="false">'Consol P&amp;L'!K7</f>
        <v>0</v>
      </c>
      <c r="C24" s="27" t="n">
        <v>0.01</v>
      </c>
      <c r="D24" s="42" t="str">
        <f aca="false">IF(ABS(B24)&lt;=C24,"OK","ERROR")</f>
        <v>OK</v>
      </c>
      <c r="E24" s="27" t="s">
        <v>588</v>
      </c>
      <c r="F24" s="19"/>
    </row>
    <row r="25" customFormat="false" ht="15" hidden="false" customHeight="true" outlineLevel="0" collapsed="false">
      <c r="A25" s="18" t="s">
        <v>607</v>
      </c>
      <c r="B25" s="33" t="n">
        <f aca="false">'Consol P&amp;L'!K10</f>
        <v>0</v>
      </c>
      <c r="C25" s="27" t="n">
        <v>0.01</v>
      </c>
      <c r="D25" s="42" t="str">
        <f aca="false">IF(ABS(B25)&lt;=C25,"OK","ERROR")</f>
        <v>OK</v>
      </c>
      <c r="E25" s="27" t="s">
        <v>588</v>
      </c>
      <c r="F25" s="19"/>
    </row>
    <row r="26" customFormat="false" ht="15" hidden="false" customHeight="true" outlineLevel="0" collapsed="false">
      <c r="A26" s="18" t="s">
        <v>608</v>
      </c>
      <c r="B26" s="33" t="n">
        <f aca="false">'Consol P&amp;L'!L7</f>
        <v>0</v>
      </c>
      <c r="C26" s="27" t="n">
        <v>0.01</v>
      </c>
      <c r="D26" s="42" t="str">
        <f aca="false">IF(ABS(B26)&lt;=C26,"OK","ERROR")</f>
        <v>OK</v>
      </c>
      <c r="E26" s="27" t="s">
        <v>588</v>
      </c>
      <c r="F26" s="19"/>
    </row>
    <row r="27" customFormat="false" ht="15" hidden="false" customHeight="true" outlineLevel="0" collapsed="false">
      <c r="A27" s="18" t="s">
        <v>609</v>
      </c>
      <c r="B27" s="33" t="n">
        <f aca="false">'Consol P&amp;L'!L10</f>
        <v>0</v>
      </c>
      <c r="C27" s="27" t="n">
        <v>0.01</v>
      </c>
      <c r="D27" s="42" t="str">
        <f aca="false">IF(ABS(B27)&lt;=C27,"OK","ERROR")</f>
        <v>OK</v>
      </c>
      <c r="E27" s="27" t="s">
        <v>588</v>
      </c>
      <c r="F27" s="19"/>
    </row>
    <row r="28" customFormat="false" ht="15" hidden="false" customHeight="true" outlineLevel="0" collapsed="false">
      <c r="A28" s="18" t="s">
        <v>610</v>
      </c>
      <c r="B28" s="33" t="n">
        <f aca="false">'Consol P&amp;L'!M7</f>
        <v>0</v>
      </c>
      <c r="C28" s="27" t="n">
        <v>0.01</v>
      </c>
      <c r="D28" s="42" t="str">
        <f aca="false">IF(ABS(B28)&lt;=C28,"OK","ERROR")</f>
        <v>OK</v>
      </c>
      <c r="E28" s="27" t="s">
        <v>588</v>
      </c>
      <c r="F28" s="19"/>
    </row>
    <row r="29" customFormat="false" ht="15" hidden="false" customHeight="true" outlineLevel="0" collapsed="false">
      <c r="A29" s="18" t="s">
        <v>611</v>
      </c>
      <c r="B29" s="33" t="n">
        <f aca="false">'Consol P&amp;L'!M10</f>
        <v>0</v>
      </c>
      <c r="C29" s="27" t="n">
        <v>0.01</v>
      </c>
      <c r="D29" s="42" t="str">
        <f aca="false">IF(ABS(B29)&lt;=C29,"OK","ERROR")</f>
        <v>OK</v>
      </c>
      <c r="E29" s="27" t="s">
        <v>588</v>
      </c>
      <c r="F29" s="19"/>
    </row>
    <row r="30" customFormat="false" ht="15" hidden="false" customHeight="true" outlineLevel="0" collapsed="false">
      <c r="A30" s="18" t="s">
        <v>612</v>
      </c>
      <c r="B30" s="33" t="n">
        <f aca="false">'Consol P&amp;L'!N7</f>
        <v>0</v>
      </c>
      <c r="C30" s="27" t="n">
        <v>0.01</v>
      </c>
      <c r="D30" s="42" t="str">
        <f aca="false">IF(ABS(B30)&lt;=C30,"OK","ERROR")</f>
        <v>OK</v>
      </c>
      <c r="E30" s="27" t="s">
        <v>588</v>
      </c>
      <c r="F30" s="19"/>
    </row>
    <row r="31" customFormat="false" ht="15" hidden="false" customHeight="true" outlineLevel="0" collapsed="false">
      <c r="A31" s="18" t="s">
        <v>613</v>
      </c>
      <c r="B31" s="33" t="n">
        <f aca="false">'Consol P&amp;L'!N10</f>
        <v>0</v>
      </c>
      <c r="C31" s="27" t="n">
        <v>0.01</v>
      </c>
      <c r="D31" s="42" t="str">
        <f aca="false">IF(ABS(B31)&lt;=C31,"OK","ERROR")</f>
        <v>OK</v>
      </c>
      <c r="E31" s="27" t="s">
        <v>588</v>
      </c>
      <c r="F31" s="19"/>
    </row>
    <row r="32" customFormat="false" ht="15" hidden="false" customHeight="true" outlineLevel="0" collapsed="false">
      <c r="A32" s="18" t="s">
        <v>614</v>
      </c>
      <c r="B32" s="33" t="n">
        <f aca="false">'Consol P&amp;L'!O7</f>
        <v>0</v>
      </c>
      <c r="C32" s="27" t="n">
        <v>0.01</v>
      </c>
      <c r="D32" s="42" t="str">
        <f aca="false">IF(ABS(B32)&lt;=C32,"OK","ERROR")</f>
        <v>OK</v>
      </c>
      <c r="E32" s="27" t="s">
        <v>588</v>
      </c>
      <c r="F32" s="19"/>
    </row>
    <row r="33" customFormat="false" ht="15" hidden="false" customHeight="true" outlineLevel="0" collapsed="false">
      <c r="A33" s="18" t="s">
        <v>615</v>
      </c>
      <c r="B33" s="33" t="n">
        <f aca="false">'Consol P&amp;L'!O10</f>
        <v>0</v>
      </c>
      <c r="C33" s="27" t="n">
        <v>0.01</v>
      </c>
      <c r="D33" s="42" t="str">
        <f aca="false">IF(ABS(B33)&lt;=C33,"OK","ERROR")</f>
        <v>OK</v>
      </c>
      <c r="E33" s="27" t="s">
        <v>588</v>
      </c>
      <c r="F33" s="19"/>
    </row>
    <row r="34" customFormat="false" ht="15" hidden="false" customHeight="true" outlineLevel="0" collapsed="false">
      <c r="A34" s="18" t="s">
        <v>616</v>
      </c>
      <c r="B34" s="33" t="n">
        <f aca="false">'Consol P&amp;L'!P7</f>
        <v>0</v>
      </c>
      <c r="C34" s="27" t="n">
        <v>0.01</v>
      </c>
      <c r="D34" s="42" t="str">
        <f aca="false">IF(ABS(B34)&lt;=C34,"OK","ERROR")</f>
        <v>OK</v>
      </c>
      <c r="E34" s="27" t="s">
        <v>588</v>
      </c>
      <c r="F34" s="19"/>
    </row>
    <row r="35" customFormat="false" ht="15" hidden="false" customHeight="true" outlineLevel="0" collapsed="false">
      <c r="A35" s="18" t="s">
        <v>617</v>
      </c>
      <c r="B35" s="33" t="n">
        <f aca="false">'Consol P&amp;L'!P10</f>
        <v>0</v>
      </c>
      <c r="C35" s="27" t="n">
        <v>0.01</v>
      </c>
      <c r="D35" s="42" t="str">
        <f aca="false">IF(ABS(B35)&lt;=C35,"OK","ERROR")</f>
        <v>OK</v>
      </c>
      <c r="E35" s="27" t="s">
        <v>588</v>
      </c>
      <c r="F35" s="19"/>
    </row>
    <row r="36" customFormat="false" ht="15" hidden="false" customHeight="true" outlineLevel="0" collapsed="false">
      <c r="A36" s="18" t="s">
        <v>618</v>
      </c>
      <c r="B36" s="33" t="n">
        <f aca="false">'Consol P&amp;L'!Q7</f>
        <v>0</v>
      </c>
      <c r="C36" s="27" t="n">
        <v>0.01</v>
      </c>
      <c r="D36" s="42" t="str">
        <f aca="false">IF(ABS(B36)&lt;=C36,"OK","ERROR")</f>
        <v>OK</v>
      </c>
      <c r="E36" s="27" t="s">
        <v>588</v>
      </c>
      <c r="F36" s="19"/>
    </row>
    <row r="37" customFormat="false" ht="15" hidden="false" customHeight="true" outlineLevel="0" collapsed="false">
      <c r="A37" s="18" t="s">
        <v>619</v>
      </c>
      <c r="B37" s="33" t="n">
        <f aca="false">'Consol P&amp;L'!Q10</f>
        <v>0</v>
      </c>
      <c r="C37" s="27" t="n">
        <v>0.01</v>
      </c>
      <c r="D37" s="42" t="str">
        <f aca="false">IF(ABS(B37)&lt;=C37,"OK","ERROR")</f>
        <v>OK</v>
      </c>
      <c r="E37" s="27" t="s">
        <v>588</v>
      </c>
      <c r="F37" s="19"/>
    </row>
    <row r="38" customFormat="false" ht="15" hidden="false" customHeight="true" outlineLevel="0" collapsed="false">
      <c r="A38" s="18" t="s">
        <v>620</v>
      </c>
      <c r="B38" s="33" t="n">
        <f aca="false">'Consol P&amp;L'!R7</f>
        <v>0</v>
      </c>
      <c r="C38" s="27" t="n">
        <v>0.01</v>
      </c>
      <c r="D38" s="42" t="str">
        <f aca="false">IF(ABS(B38)&lt;=C38,"OK","ERROR")</f>
        <v>OK</v>
      </c>
      <c r="E38" s="27" t="s">
        <v>588</v>
      </c>
      <c r="F38" s="19"/>
    </row>
    <row r="39" customFormat="false" ht="15" hidden="false" customHeight="true" outlineLevel="0" collapsed="false">
      <c r="A39" s="18" t="s">
        <v>621</v>
      </c>
      <c r="B39" s="33" t="n">
        <f aca="false">'Consol P&amp;L'!R10</f>
        <v>0</v>
      </c>
      <c r="C39" s="27" t="n">
        <v>0.01</v>
      </c>
      <c r="D39" s="42" t="str">
        <f aca="false">IF(ABS(B39)&lt;=C39,"OK","ERROR")</f>
        <v>OK</v>
      </c>
      <c r="E39" s="27" t="s">
        <v>588</v>
      </c>
      <c r="F39" s="19"/>
    </row>
    <row r="40" customFormat="false" ht="15" hidden="false" customHeight="true" outlineLevel="0" collapsed="false">
      <c r="A40" s="18" t="s">
        <v>622</v>
      </c>
      <c r="B40" s="28" t="n">
        <f aca="false">COUNTIFS(Sources!B5:B1000,"&lt;&gt;",Sources!B5:B1000,"&lt;&gt;-")</f>
        <v>311</v>
      </c>
      <c r="C40" s="27" t="n">
        <v>311</v>
      </c>
      <c r="D40" s="42" t="str">
        <f aca="false">IF(B40=C40,"OK","ERROR")</f>
        <v>OK</v>
      </c>
      <c r="E40" s="27" t="s">
        <v>623</v>
      </c>
      <c r="F40" s="19"/>
    </row>
    <row r="41" customFormat="false" ht="15" hidden="false" customHeight="true" outlineLevel="0" collapsed="false">
      <c r="A41" s="18" t="s">
        <v>624</v>
      </c>
      <c r="B41" s="27" t="s">
        <v>625</v>
      </c>
      <c r="C41" s="19"/>
      <c r="D41" s="27" t="s">
        <v>154</v>
      </c>
      <c r="E41" s="27" t="s">
        <v>626</v>
      </c>
      <c r="F41" s="19"/>
    </row>
    <row r="42" customFormat="false" ht="15" hidden="false" customHeight="true" outlineLevel="0" collapsed="false">
      <c r="A42" s="18" t="s">
        <v>627</v>
      </c>
      <c r="B42" s="28" t="str">
        <f aca="false">'Spread Beta'!B5</f>
        <v>Proportional sensitivity</v>
      </c>
      <c r="C42" s="19"/>
      <c r="D42" s="27" t="str">
        <f aca="false">IF(B42="Proportional sensitivity","OK","ERROR")</f>
        <v>OK</v>
      </c>
      <c r="E42" s="27" t="s">
        <v>628</v>
      </c>
      <c r="F42" s="19"/>
    </row>
    <row r="43" customFormat="false" ht="26.25" hidden="false" customHeight="true" outlineLevel="0" collapsed="false">
      <c r="A43" s="18" t="s">
        <v>629</v>
      </c>
      <c r="B43" s="28" t="n">
        <f aca="false">IF(COUNT(Assumptions!S6:S31,Assumptions!T6:T31,Assumptions!U6:U31,Assumptions!W6:W31,Assumptions!X6:X31,Assumptions!Y6:Y31,Assumptions!Z6:Z31,Assumptions!AA6:AA31,Assumptions!AB6:AB31)=0,IF(AND('Consol P&amp;L'!S6="",'Consol P&amp;L'!T6="",'Consol P&amp;L'!U6="",'Consol P&amp;L'!W6="",'Consol P&amp;L'!X6="",'Consol P&amp;L'!Y6="",'Consol P&amp;L'!Z6="",'Consol P&amp;L'!AA6="",'Consol P&amp;L'!AB6=""),0,1),0)</f>
        <v>0</v>
      </c>
      <c r="C43" s="27" t="n">
        <v>0</v>
      </c>
      <c r="D43" s="42" t="str">
        <f aca="false">IF(B43=0,"OK","ERROR")</f>
        <v>OK</v>
      </c>
      <c r="E43" s="27" t="s">
        <v>630</v>
      </c>
      <c r="F43" s="19"/>
    </row>
    <row r="44" customFormat="false" ht="15" hidden="false" customHeight="true" outlineLevel="0" collapsed="false">
      <c r="A44" s="18" t="s">
        <v>631</v>
      </c>
      <c r="B44" s="27" t="n">
        <v>0</v>
      </c>
      <c r="C44" s="27" t="n">
        <v>0</v>
      </c>
      <c r="D44" s="42" t="str">
        <f aca="false">IF(B44=0,"OK","ERROR")</f>
        <v>OK</v>
      </c>
      <c r="E44" s="27" t="s">
        <v>632</v>
      </c>
      <c r="F44" s="19" t="s">
        <v>633</v>
      </c>
    </row>
    <row r="45" customFormat="false" ht="15" hidden="false" customHeight="true" outlineLevel="0" collapsed="false">
      <c r="A45" s="18" t="s">
        <v>634</v>
      </c>
      <c r="B45" s="33" t="n">
        <f aca="false">'Consol P&amp;L'!V7</f>
        <v>0</v>
      </c>
      <c r="C45" s="27" t="n">
        <v>0.01</v>
      </c>
      <c r="D45" s="42" t="str">
        <f aca="false">IF(ABS(B45)&lt;=C45,"OK","ERROR")</f>
        <v>OK</v>
      </c>
      <c r="E45" s="27" t="s">
        <v>588</v>
      </c>
      <c r="F45" s="19"/>
    </row>
    <row r="46" customFormat="false" ht="15" hidden="false" customHeight="true" outlineLevel="0" collapsed="false">
      <c r="A46" s="18" t="s">
        <v>635</v>
      </c>
      <c r="B46" s="33" t="n">
        <f aca="false">'Consol P&amp;L'!V10</f>
        <v>0</v>
      </c>
      <c r="C46" s="27" t="n">
        <v>0.01</v>
      </c>
      <c r="D46" s="42" t="str">
        <f aca="false">IF(ABS(B46)&lt;=C46,"OK","ERROR")</f>
        <v>OK</v>
      </c>
      <c r="E46" s="27" t="s">
        <v>636</v>
      </c>
      <c r="F46" s="19"/>
    </row>
  </sheetData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2026-07-27T11:48:07Z</dcterms:created>
  <dc:creator>openpyxl</dc:creator>
  <dc:description/>
  <dc:language>zh-CN</dc:language>
  <cp:lastModifiedBy/>
  <dcterms:modified xsi:type="dcterms:W3CDTF">2026-08-25T00:33:20Z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